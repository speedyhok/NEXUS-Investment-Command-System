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ownloads\Apple Valuation\"/>
    </mc:Choice>
  </mc:AlternateContent>
  <xr:revisionPtr revIDLastSave="0" documentId="13_ncr:1_{AC1AEC10-F274-42C4-B636-E7DDB1019A58}" xr6:coauthVersionLast="47" xr6:coauthVersionMax="47" xr10:uidLastSave="{00000000-0000-0000-0000-000000000000}"/>
  <bookViews>
    <workbookView xWindow="-120" yWindow="-120" windowWidth="20730" windowHeight="11040" firstSheet="8" activeTab="12" xr2:uid="{F23F270A-E5A3-4E16-B07A-8775031B881A}"/>
  </bookViews>
  <sheets>
    <sheet name="DASHBOARD" sheetId="3" r:id="rId1"/>
    <sheet name="CONTROL_PANEL" sheetId="1" r:id="rId2"/>
    <sheet name="DATA_ENGINE" sheetId="2" r:id="rId3"/>
    <sheet name="RAW_CF" sheetId="13" r:id="rId4"/>
    <sheet name="RAW_BS" sheetId="12" r:id="rId5"/>
    <sheet name="RAW_IS" sheetId="11" r:id="rId6"/>
    <sheet name="FINANCIAL_STATEMENTS" sheetId="4" r:id="rId7"/>
    <sheet name="VALUATION_ENGINE" sheetId="5" r:id="rId8"/>
    <sheet name="RAW_AAPL" sheetId="16" r:id="rId9"/>
    <sheet name="RAW_GSPC" sheetId="15" r:id="rId10"/>
    <sheet name="RAW_MSFT" sheetId="14" r:id="rId11"/>
    <sheet name="SCENARIO_LAB" sheetId="17" r:id="rId12"/>
    <sheet name="AUTOMATION_ENGINE" sheetId="7" r:id="rId13"/>
    <sheet name="PORTFOLIO_TRACKER" sheetId="8" r:id="rId14"/>
    <sheet name="GALAXY" sheetId="10" r:id="rId15"/>
    <sheet name="AUDIT_TRAIL" sheetId="9" r:id="rId16"/>
  </sheets>
  <definedNames>
    <definedName name="ActiveScenario">CONTROL_PANEL!$B$9</definedName>
    <definedName name="Beta">CONTROL_PANEL!$E$26</definedName>
    <definedName name="CapExPct">CONTROL_PANEL!$B$37</definedName>
    <definedName name="CompanyName">CONTROL_PANEL!$B$2</definedName>
    <definedName name="CurrentStockPrice">CONTROL_PANEL!$E$27</definedName>
    <definedName name="EquityRiskPremium">CONTROL_PANEL!$E$25</definedName>
    <definedName name="ExternalData_1" localSheetId="5" hidden="1">RAW_IS!$A$1:$L$12</definedName>
    <definedName name="ExternalData_1" localSheetId="10" hidden="1">RAW_MSFT!$A$1:$B$133</definedName>
    <definedName name="ExternalData_2" localSheetId="4" hidden="1">RAW_BS!$A$1:$M$12</definedName>
    <definedName name="ExternalData_2" localSheetId="9" hidden="1">RAW_GSPC!$A$1:$B$133</definedName>
    <definedName name="ExternalData_3" localSheetId="8" hidden="1">RAW_AAPL!$A$1:$B$131</definedName>
    <definedName name="ExternalData_3" localSheetId="3" hidden="1">RAW_CF!$A$1:$N$12</definedName>
    <definedName name="GrossMargin">CONTROL_PANEL!$B$33</definedName>
    <definedName name="Growth\WACC">SCENARIO_LAB!$A$45</definedName>
    <definedName name="maxscale">SCENARIO_LAB!$N$13</definedName>
    <definedName name="minscale">SCENARIO_LAB!$N$12</definedName>
    <definedName name="_xlnm.Print_Area" localSheetId="0">DASHBOARD!$C$1:$V$51</definedName>
    <definedName name="ProjectionYears">CONTROL_PANEL!$E$18</definedName>
    <definedName name="RevenueGrowth">CONTROL_PANEL!$B$32</definedName>
    <definedName name="RiskFreeRate">CONTROL_PANEL!$E$24</definedName>
    <definedName name="ShareOutstanding">CONTROL_PANEL!$E$28</definedName>
    <definedName name="TaxRate">CONTROL_PANEL!$B$36</definedName>
    <definedName name="TerminalGrowthRate">CONTROL_PANEL!$E$23</definedName>
    <definedName name="Ticker">CONTROL_PANEL!$B$3</definedName>
    <definedName name="updown">VALUATION_ENGINE!$H$54</definedName>
    <definedName name="WACC">CONTROL_PANEL!$E$22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10" i="4" l="1"/>
  <c r="Q21" i="4"/>
  <c r="N19" i="4"/>
  <c r="N8" i="4"/>
  <c r="N21" i="4"/>
  <c r="N74" i="4"/>
  <c r="N18" i="4"/>
  <c r="N5" i="4"/>
  <c r="B31" i="7"/>
  <c r="B30" i="7"/>
  <c r="B29" i="7"/>
  <c r="K12" i="8"/>
  <c r="K11" i="8"/>
  <c r="K10" i="8"/>
  <c r="K9" i="8"/>
  <c r="J12" i="8"/>
  <c r="J11" i="8"/>
  <c r="J10" i="8"/>
  <c r="J9" i="8"/>
  <c r="B129" i="8" a="1"/>
  <c r="B129" i="8" s="1"/>
  <c r="C129" i="8" s="1"/>
  <c r="D129" i="8"/>
  <c r="F129" i="8"/>
  <c r="G129" i="8" s="1"/>
  <c r="B130" i="8" a="1"/>
  <c r="B130" i="8" s="1"/>
  <c r="C130" i="8" s="1"/>
  <c r="D130" i="8"/>
  <c r="F130" i="8"/>
  <c r="G130" i="8"/>
  <c r="B131" i="8" a="1"/>
  <c r="B131" i="8"/>
  <c r="D131" i="8"/>
  <c r="F131" i="8"/>
  <c r="G131" i="8" s="1"/>
  <c r="B132" i="8" a="1"/>
  <c r="B132" i="8" s="1"/>
  <c r="C132" i="8" s="1"/>
  <c r="D132" i="8"/>
  <c r="E132" i="8" s="1"/>
  <c r="F132" i="8"/>
  <c r="G132" i="8"/>
  <c r="B133" i="8" a="1"/>
  <c r="B133" i="8"/>
  <c r="D133" i="8"/>
  <c r="F133" i="8"/>
  <c r="G133" i="8" s="1"/>
  <c r="B134" i="8" a="1"/>
  <c r="B134" i="8" s="1"/>
  <c r="C134" i="8" s="1"/>
  <c r="D134" i="8"/>
  <c r="F134" i="8"/>
  <c r="G134" i="8"/>
  <c r="B135" i="8" a="1"/>
  <c r="B135" i="8"/>
  <c r="C135" i="8" s="1"/>
  <c r="D135" i="8"/>
  <c r="F135" i="8"/>
  <c r="G135" i="8" s="1"/>
  <c r="B136" i="8" a="1"/>
  <c r="B136" i="8" s="1"/>
  <c r="C136" i="8" s="1"/>
  <c r="D136" i="8"/>
  <c r="F136" i="8"/>
  <c r="G136" i="8"/>
  <c r="A129" i="8" a="1"/>
  <c r="A129" i="8" s="1"/>
  <c r="A130" i="8" a="1"/>
  <c r="A130" i="8" s="1"/>
  <c r="A131" i="8" a="1"/>
  <c r="A131" i="8"/>
  <c r="A132" i="8" a="1"/>
  <c r="A132" i="8"/>
  <c r="A133" i="8" a="1"/>
  <c r="A133" i="8" s="1"/>
  <c r="A134" i="8" a="1"/>
  <c r="A134" i="8"/>
  <c r="A135" i="8" a="1"/>
  <c r="A135" i="8"/>
  <c r="A136" i="8" a="1"/>
  <c r="A136" i="8"/>
  <c r="E130" i="8" l="1"/>
  <c r="E136" i="8"/>
  <c r="E135" i="8"/>
  <c r="E134" i="8"/>
  <c r="E133" i="8"/>
  <c r="E131" i="8"/>
  <c r="C133" i="8"/>
  <c r="C131" i="8"/>
  <c r="B22" i="7" l="1"/>
  <c r="B8" i="7"/>
  <c r="B5" i="7"/>
  <c r="B6" i="7"/>
  <c r="L13" i="17"/>
  <c r="M13" i="17" s="1"/>
  <c r="L14" i="17"/>
  <c r="M14" i="17" s="1"/>
  <c r="L12" i="17"/>
  <c r="M12" i="17" s="1"/>
  <c r="K13" i="17"/>
  <c r="K12" i="17"/>
  <c r="K14" i="17"/>
  <c r="M47" i="17"/>
  <c r="M46" i="17"/>
  <c r="M45" i="17"/>
  <c r="M44" i="17"/>
  <c r="M43" i="17"/>
  <c r="M48" i="17"/>
  <c r="N48" i="17" s="1"/>
  <c r="L47" i="17"/>
  <c r="N47" i="17" s="1"/>
  <c r="L46" i="17"/>
  <c r="N46" i="17" s="1"/>
  <c r="L45" i="17"/>
  <c r="L44" i="17"/>
  <c r="L43" i="17"/>
  <c r="N43" i="17" s="1"/>
  <c r="L48" i="17"/>
  <c r="B6" i="17"/>
  <c r="D11" i="17"/>
  <c r="D10" i="17"/>
  <c r="D9" i="17"/>
  <c r="D8" i="17"/>
  <c r="D7" i="17"/>
  <c r="D6" i="17"/>
  <c r="C11" i="17"/>
  <c r="C10" i="17"/>
  <c r="C9" i="17"/>
  <c r="C8" i="17"/>
  <c r="C7" i="17"/>
  <c r="C6" i="17"/>
  <c r="B11" i="17"/>
  <c r="B10" i="17"/>
  <c r="B9" i="17"/>
  <c r="B8" i="17"/>
  <c r="B7" i="17"/>
  <c r="E6" i="10"/>
  <c r="E5" i="10"/>
  <c r="B7" i="8" a="1"/>
  <c r="B7" i="8" s="1"/>
  <c r="B8" i="8" a="1"/>
  <c r="B8" i="8" s="1"/>
  <c r="B9" i="8" a="1"/>
  <c r="B9" i="8" s="1"/>
  <c r="B10" i="8" a="1"/>
  <c r="B10" i="8" s="1"/>
  <c r="B11" i="8" a="1"/>
  <c r="B11" i="8" s="1"/>
  <c r="B12" i="8" a="1"/>
  <c r="B12" i="8" s="1"/>
  <c r="B13" i="8" a="1"/>
  <c r="B13" i="8" s="1"/>
  <c r="C13" i="8" s="1"/>
  <c r="B14" i="8" a="1"/>
  <c r="B14" i="8" s="1"/>
  <c r="B15" i="8" a="1"/>
  <c r="B15" i="8" s="1"/>
  <c r="B16" i="8" a="1"/>
  <c r="B16" i="8" s="1"/>
  <c r="B17" i="8" a="1"/>
  <c r="B17" i="8" s="1"/>
  <c r="B18" i="8" a="1"/>
  <c r="B18" i="8" s="1"/>
  <c r="B19" i="8" a="1"/>
  <c r="B19" i="8" s="1"/>
  <c r="B20" i="8" a="1"/>
  <c r="B20" i="8" s="1"/>
  <c r="B21" i="8" a="1"/>
  <c r="B21" i="8" s="1"/>
  <c r="C21" i="8" s="1"/>
  <c r="B22" i="8" a="1"/>
  <c r="B22" i="8" s="1"/>
  <c r="B23" i="8" a="1"/>
  <c r="B23" i="8" s="1"/>
  <c r="B24" i="8" a="1"/>
  <c r="B24" i="8" s="1"/>
  <c r="B25" i="8" a="1"/>
  <c r="B25" i="8" s="1"/>
  <c r="B26" i="8" a="1"/>
  <c r="B26" i="8" s="1"/>
  <c r="B27" i="8" a="1"/>
  <c r="B27" i="8" s="1"/>
  <c r="B28" i="8" a="1"/>
  <c r="B28" i="8" s="1"/>
  <c r="B29" i="8" a="1"/>
  <c r="B29" i="8" s="1"/>
  <c r="C29" i="8" s="1"/>
  <c r="B30" i="8" a="1"/>
  <c r="B30" i="8" s="1"/>
  <c r="B31" i="8" a="1"/>
  <c r="B31" i="8" s="1"/>
  <c r="C31" i="8" s="1"/>
  <c r="B32" i="8" a="1"/>
  <c r="B32" i="8" s="1"/>
  <c r="B33" i="8" a="1"/>
  <c r="B33" i="8" s="1"/>
  <c r="B34" i="8" a="1"/>
  <c r="B34" i="8" s="1"/>
  <c r="B35" i="8" a="1"/>
  <c r="B35" i="8" s="1"/>
  <c r="B36" i="8" a="1"/>
  <c r="B36" i="8" s="1"/>
  <c r="B37" i="8" a="1"/>
  <c r="B37" i="8" s="1"/>
  <c r="C37" i="8" s="1"/>
  <c r="B38" i="8" a="1"/>
  <c r="B38" i="8" s="1"/>
  <c r="B39" i="8" a="1"/>
  <c r="B39" i="8" s="1"/>
  <c r="B40" i="8" a="1"/>
  <c r="B40" i="8" s="1"/>
  <c r="B41" i="8" a="1"/>
  <c r="B41" i="8" s="1"/>
  <c r="B42" i="8" a="1"/>
  <c r="B42" i="8" s="1"/>
  <c r="B43" i="8" a="1"/>
  <c r="B43" i="8" s="1"/>
  <c r="B44" i="8" a="1"/>
  <c r="B44" i="8" s="1"/>
  <c r="B45" i="8" a="1"/>
  <c r="B45" i="8" s="1"/>
  <c r="C45" i="8" s="1"/>
  <c r="B46" i="8" a="1"/>
  <c r="B46" i="8" s="1"/>
  <c r="B47" i="8" a="1"/>
  <c r="B47" i="8" s="1"/>
  <c r="B48" i="8" a="1"/>
  <c r="B48" i="8" s="1"/>
  <c r="B49" i="8" a="1"/>
  <c r="B49" i="8" s="1"/>
  <c r="B50" i="8" a="1"/>
  <c r="B50" i="8" s="1"/>
  <c r="B51" i="8" a="1"/>
  <c r="B51" i="8" s="1"/>
  <c r="B52" i="8" a="1"/>
  <c r="B52" i="8" s="1"/>
  <c r="B53" i="8" a="1"/>
  <c r="B53" i="8" s="1"/>
  <c r="C53" i="8" s="1"/>
  <c r="B54" i="8" a="1"/>
  <c r="B54" i="8" s="1"/>
  <c r="B55" i="8" a="1"/>
  <c r="B55" i="8" s="1"/>
  <c r="B56" i="8" a="1"/>
  <c r="B56" i="8" s="1"/>
  <c r="B57" i="8" a="1"/>
  <c r="B57" i="8" s="1"/>
  <c r="B58" i="8" a="1"/>
  <c r="B58" i="8" s="1"/>
  <c r="B59" i="8" a="1"/>
  <c r="B59" i="8" s="1"/>
  <c r="B60" i="8" a="1"/>
  <c r="B60" i="8" s="1"/>
  <c r="B61" i="8" a="1"/>
  <c r="B61" i="8" s="1"/>
  <c r="C61" i="8" s="1"/>
  <c r="B62" i="8" a="1"/>
  <c r="B62" i="8" s="1"/>
  <c r="B63" i="8" a="1"/>
  <c r="B63" i="8" s="1"/>
  <c r="B64" i="8" a="1"/>
  <c r="B64" i="8" s="1"/>
  <c r="B65" i="8" a="1"/>
  <c r="B65" i="8" s="1"/>
  <c r="B66" i="8" a="1"/>
  <c r="B66" i="8" s="1"/>
  <c r="B67" i="8" a="1"/>
  <c r="B67" i="8" s="1"/>
  <c r="B68" i="8" a="1"/>
  <c r="B68" i="8" s="1"/>
  <c r="B69" i="8" a="1"/>
  <c r="B69" i="8" s="1"/>
  <c r="C69" i="8" s="1"/>
  <c r="B70" i="8" a="1"/>
  <c r="B70" i="8" s="1"/>
  <c r="B71" i="8" a="1"/>
  <c r="B71" i="8" s="1"/>
  <c r="B72" i="8" a="1"/>
  <c r="B72" i="8" s="1"/>
  <c r="B73" i="8" a="1"/>
  <c r="B73" i="8" s="1"/>
  <c r="B74" i="8" a="1"/>
  <c r="B74" i="8" s="1"/>
  <c r="B75" i="8" a="1"/>
  <c r="B75" i="8" s="1"/>
  <c r="B76" i="8" a="1"/>
  <c r="B76" i="8" s="1"/>
  <c r="B77" i="8" a="1"/>
  <c r="B77" i="8" s="1"/>
  <c r="C77" i="8" s="1"/>
  <c r="B78" i="8" a="1"/>
  <c r="B78" i="8" s="1"/>
  <c r="B79" i="8" a="1"/>
  <c r="B79" i="8" s="1"/>
  <c r="B80" i="8" a="1"/>
  <c r="B80" i="8" s="1"/>
  <c r="B81" i="8" a="1"/>
  <c r="B81" i="8" s="1"/>
  <c r="B82" i="8" a="1"/>
  <c r="B82" i="8" s="1"/>
  <c r="B83" i="8" a="1"/>
  <c r="B83" i="8" s="1"/>
  <c r="B84" i="8" a="1"/>
  <c r="B84" i="8" s="1"/>
  <c r="B85" i="8" a="1"/>
  <c r="B85" i="8" s="1"/>
  <c r="C85" i="8" s="1"/>
  <c r="B86" i="8" a="1"/>
  <c r="B86" i="8" s="1"/>
  <c r="B87" i="8" a="1"/>
  <c r="B87" i="8" s="1"/>
  <c r="B88" i="8" a="1"/>
  <c r="B88" i="8" s="1"/>
  <c r="B89" i="8" a="1"/>
  <c r="B89" i="8" s="1"/>
  <c r="B90" i="8" a="1"/>
  <c r="B90" i="8" s="1"/>
  <c r="B91" i="8" a="1"/>
  <c r="B91" i="8" s="1"/>
  <c r="B92" i="8" a="1"/>
  <c r="B92" i="8" s="1"/>
  <c r="B93" i="8" a="1"/>
  <c r="B93" i="8" s="1"/>
  <c r="B94" i="8" a="1"/>
  <c r="B94" i="8" s="1"/>
  <c r="B95" i="8" a="1"/>
  <c r="B95" i="8" s="1"/>
  <c r="B96" i="8" a="1"/>
  <c r="B96" i="8" s="1"/>
  <c r="B97" i="8" a="1"/>
  <c r="B97" i="8" s="1"/>
  <c r="B98" i="8" a="1"/>
  <c r="B98" i="8" s="1"/>
  <c r="B99" i="8" a="1"/>
  <c r="B99" i="8" s="1"/>
  <c r="B100" i="8" a="1"/>
  <c r="B100" i="8" s="1"/>
  <c r="B101" i="8" a="1"/>
  <c r="B101" i="8" s="1"/>
  <c r="C101" i="8" s="1"/>
  <c r="B102" i="8" a="1"/>
  <c r="B102" i="8" s="1"/>
  <c r="B103" i="8" a="1"/>
  <c r="B103" i="8" s="1"/>
  <c r="B104" i="8" a="1"/>
  <c r="B104" i="8" s="1"/>
  <c r="B105" i="8" a="1"/>
  <c r="B105" i="8" s="1"/>
  <c r="B106" i="8" a="1"/>
  <c r="B106" i="8" s="1"/>
  <c r="B107" i="8" a="1"/>
  <c r="B107" i="8" s="1"/>
  <c r="B108" i="8" a="1"/>
  <c r="B108" i="8" s="1"/>
  <c r="B109" i="8" a="1"/>
  <c r="B109" i="8" s="1"/>
  <c r="C109" i="8" s="1"/>
  <c r="B110" i="8" a="1"/>
  <c r="B110" i="8" s="1"/>
  <c r="B111" i="8" a="1"/>
  <c r="B111" i="8" s="1"/>
  <c r="B112" i="8" a="1"/>
  <c r="B112" i="8" s="1"/>
  <c r="B113" i="8" a="1"/>
  <c r="B113" i="8" s="1"/>
  <c r="B114" i="8" a="1"/>
  <c r="B114" i="8" s="1"/>
  <c r="B115" i="8" a="1"/>
  <c r="B115" i="8" s="1"/>
  <c r="B116" i="8" a="1"/>
  <c r="B116" i="8" s="1"/>
  <c r="B117" i="8" a="1"/>
  <c r="B117" i="8" s="1"/>
  <c r="C117" i="8" s="1"/>
  <c r="B118" i="8" a="1"/>
  <c r="B118" i="8" s="1"/>
  <c r="B119" i="8" a="1"/>
  <c r="B119" i="8" s="1"/>
  <c r="B120" i="8" a="1"/>
  <c r="B120" i="8" s="1"/>
  <c r="B121" i="8" a="1"/>
  <c r="B121" i="8" s="1"/>
  <c r="B122" i="8" a="1"/>
  <c r="B122" i="8" s="1"/>
  <c r="B123" i="8" a="1"/>
  <c r="B123" i="8" s="1"/>
  <c r="B124" i="8" a="1"/>
  <c r="B124" i="8" s="1"/>
  <c r="B125" i="8" a="1"/>
  <c r="B125" i="8" s="1"/>
  <c r="C125" i="8" s="1"/>
  <c r="B126" i="8" a="1"/>
  <c r="B126" i="8" s="1"/>
  <c r="B127" i="8" a="1"/>
  <c r="B127" i="8" s="1"/>
  <c r="B128" i="8" a="1"/>
  <c r="B128" i="8" s="1"/>
  <c r="A76" i="8" a="1"/>
  <c r="A76" i="8" s="1"/>
  <c r="D76" i="8" s="1"/>
  <c r="A77" i="8" a="1"/>
  <c r="A77" i="8" s="1"/>
  <c r="A78" i="8" a="1"/>
  <c r="A78" i="8" s="1"/>
  <c r="D78" i="8" s="1"/>
  <c r="A79" i="8" a="1"/>
  <c r="A79" i="8" s="1"/>
  <c r="F79" i="8" s="1"/>
  <c r="A80" i="8" a="1"/>
  <c r="A80" i="8" s="1"/>
  <c r="D80" i="8" s="1"/>
  <c r="A81" i="8" a="1"/>
  <c r="A81" i="8" s="1"/>
  <c r="D81" i="8" s="1"/>
  <c r="A82" i="8" a="1"/>
  <c r="A82" i="8" s="1"/>
  <c r="D82" i="8" s="1"/>
  <c r="E82" i="8" s="1"/>
  <c r="A83" i="8" a="1"/>
  <c r="A83" i="8" s="1"/>
  <c r="D83" i="8" s="1"/>
  <c r="A84" i="8" a="1"/>
  <c r="A84" i="8" s="1"/>
  <c r="D84" i="8" s="1"/>
  <c r="A85" i="8" a="1"/>
  <c r="A85" i="8" s="1"/>
  <c r="A86" i="8" a="1"/>
  <c r="A86" i="8" s="1"/>
  <c r="D86" i="8" s="1"/>
  <c r="A87" i="8" a="1"/>
  <c r="A87" i="8" s="1"/>
  <c r="F87" i="8" s="1"/>
  <c r="A88" i="8" a="1"/>
  <c r="A88" i="8" s="1"/>
  <c r="D88" i="8" s="1"/>
  <c r="A89" i="8" a="1"/>
  <c r="A89" i="8" s="1"/>
  <c r="D89" i="8" s="1"/>
  <c r="A90" i="8" a="1"/>
  <c r="A90" i="8" s="1"/>
  <c r="D90" i="8" s="1"/>
  <c r="E90" i="8" s="1"/>
  <c r="A91" i="8" a="1"/>
  <c r="A91" i="8" s="1"/>
  <c r="D91" i="8" s="1"/>
  <c r="A92" i="8" a="1"/>
  <c r="A92" i="8" s="1"/>
  <c r="D92" i="8" s="1"/>
  <c r="A93" i="8" a="1"/>
  <c r="A93" i="8" s="1"/>
  <c r="A94" i="8" a="1"/>
  <c r="A94" i="8" s="1"/>
  <c r="D94" i="8" s="1"/>
  <c r="A95" i="8" a="1"/>
  <c r="A95" i="8" s="1"/>
  <c r="F95" i="8" s="1"/>
  <c r="A96" i="8" a="1"/>
  <c r="A96" i="8" s="1"/>
  <c r="D96" i="8" s="1"/>
  <c r="A97" i="8" a="1"/>
  <c r="A97" i="8" s="1"/>
  <c r="D97" i="8" s="1"/>
  <c r="A98" i="8" a="1"/>
  <c r="A98" i="8" s="1"/>
  <c r="D98" i="8" s="1"/>
  <c r="A99" i="8" a="1"/>
  <c r="A99" i="8" s="1"/>
  <c r="D99" i="8" s="1"/>
  <c r="A100" i="8" a="1"/>
  <c r="A100" i="8" s="1"/>
  <c r="D100" i="8" s="1"/>
  <c r="A101" i="8" a="1"/>
  <c r="A101" i="8" s="1"/>
  <c r="A102" i="8" a="1"/>
  <c r="A102" i="8" s="1"/>
  <c r="D102" i="8" s="1"/>
  <c r="A103" i="8" a="1"/>
  <c r="A103" i="8" s="1"/>
  <c r="F103" i="8" s="1"/>
  <c r="A104" i="8" a="1"/>
  <c r="A104" i="8" s="1"/>
  <c r="D104" i="8" s="1"/>
  <c r="A105" i="8" a="1"/>
  <c r="A105" i="8" s="1"/>
  <c r="D105" i="8" s="1"/>
  <c r="A106" i="8" a="1"/>
  <c r="A106" i="8" s="1"/>
  <c r="D106" i="8" s="1"/>
  <c r="E106" i="8" s="1"/>
  <c r="A107" i="8" a="1"/>
  <c r="A107" i="8" s="1"/>
  <c r="D107" i="8" s="1"/>
  <c r="A108" i="8" a="1"/>
  <c r="A108" i="8" s="1"/>
  <c r="D108" i="8" s="1"/>
  <c r="A109" i="8" a="1"/>
  <c r="A109" i="8" s="1"/>
  <c r="A110" i="8" a="1"/>
  <c r="A110" i="8" s="1"/>
  <c r="D110" i="8" s="1"/>
  <c r="A111" i="8" a="1"/>
  <c r="A111" i="8" s="1"/>
  <c r="F111" i="8" s="1"/>
  <c r="A112" i="8" a="1"/>
  <c r="A112" i="8" s="1"/>
  <c r="D112" i="8" s="1"/>
  <c r="A113" i="8" a="1"/>
  <c r="A113" i="8" s="1"/>
  <c r="D113" i="8" s="1"/>
  <c r="A114" i="8" a="1"/>
  <c r="A114" i="8" s="1"/>
  <c r="D114" i="8" s="1"/>
  <c r="E114" i="8" s="1"/>
  <c r="A115" i="8" a="1"/>
  <c r="A115" i="8" s="1"/>
  <c r="D115" i="8" s="1"/>
  <c r="A116" i="8" a="1"/>
  <c r="A116" i="8" s="1"/>
  <c r="D116" i="8" s="1"/>
  <c r="A117" i="8" a="1"/>
  <c r="A117" i="8" s="1"/>
  <c r="A118" i="8" a="1"/>
  <c r="A118" i="8" s="1"/>
  <c r="D118" i="8" s="1"/>
  <c r="A119" i="8" a="1"/>
  <c r="A119" i="8" s="1"/>
  <c r="F119" i="8" s="1"/>
  <c r="A120" i="8" a="1"/>
  <c r="A120" i="8" s="1"/>
  <c r="D120" i="8" s="1"/>
  <c r="A121" i="8" a="1"/>
  <c r="A121" i="8" s="1"/>
  <c r="D121" i="8" s="1"/>
  <c r="A122" i="8" a="1"/>
  <c r="A122" i="8" s="1"/>
  <c r="D122" i="8" s="1"/>
  <c r="E122" i="8" s="1"/>
  <c r="A123" i="8" a="1"/>
  <c r="A123" i="8" s="1"/>
  <c r="D123" i="8" s="1"/>
  <c r="A124" i="8" a="1"/>
  <c r="A124" i="8" s="1"/>
  <c r="D124" i="8" s="1"/>
  <c r="A125" i="8" a="1"/>
  <c r="A125" i="8" s="1"/>
  <c r="A126" i="8" a="1"/>
  <c r="A126" i="8" s="1"/>
  <c r="D126" i="8" s="1"/>
  <c r="A127" i="8" a="1"/>
  <c r="A127" i="8" s="1"/>
  <c r="F127" i="8" s="1"/>
  <c r="A128" i="8" a="1"/>
  <c r="A128" i="8" s="1"/>
  <c r="D128" i="8" s="1"/>
  <c r="E129" i="8" s="1"/>
  <c r="A64" i="8" a="1"/>
  <c r="A64" i="8" s="1"/>
  <c r="D64" i="8" s="1"/>
  <c r="A65" i="8" a="1"/>
  <c r="A65" i="8" s="1"/>
  <c r="D65" i="8" s="1"/>
  <c r="E65" i="8" s="1"/>
  <c r="A66" i="8" a="1"/>
  <c r="A66" i="8" s="1"/>
  <c r="D66" i="8" s="1"/>
  <c r="A67" i="8" a="1"/>
  <c r="A67" i="8" s="1"/>
  <c r="D67" i="8" s="1"/>
  <c r="A68" i="8" a="1"/>
  <c r="A68" i="8" s="1"/>
  <c r="A69" i="8" a="1"/>
  <c r="A69" i="8" s="1"/>
  <c r="D69" i="8" s="1"/>
  <c r="A70" i="8" a="1"/>
  <c r="A70" i="8" s="1"/>
  <c r="D70" i="8" s="1"/>
  <c r="A71" i="8" a="1"/>
  <c r="A71" i="8" s="1"/>
  <c r="F71" i="8" s="1"/>
  <c r="A72" i="8" a="1"/>
  <c r="A72" i="8" s="1"/>
  <c r="D72" i="8" s="1"/>
  <c r="A73" i="8" a="1"/>
  <c r="A73" i="8" s="1"/>
  <c r="D73" i="8" s="1"/>
  <c r="E73" i="8" s="1"/>
  <c r="A74" i="8" a="1"/>
  <c r="A74" i="8" s="1"/>
  <c r="D74" i="8" s="1"/>
  <c r="A75" i="8" a="1"/>
  <c r="A75" i="8" s="1"/>
  <c r="D75" i="8" s="1"/>
  <c r="A63" i="8" a="1"/>
  <c r="A63" i="8" s="1"/>
  <c r="F63" i="8" s="1"/>
  <c r="A62" i="8" a="1"/>
  <c r="A62" i="8" s="1"/>
  <c r="D62" i="8" s="1"/>
  <c r="A61" i="8" a="1"/>
  <c r="A61" i="8" s="1"/>
  <c r="D61" i="8" s="1"/>
  <c r="A60" i="8" a="1"/>
  <c r="A60" i="8" s="1"/>
  <c r="D60" i="8" s="1"/>
  <c r="A59" i="8" a="1"/>
  <c r="A59" i="8" s="1"/>
  <c r="D59" i="8" s="1"/>
  <c r="A58" i="8" a="1"/>
  <c r="A58" i="8" s="1"/>
  <c r="D58" i="8" s="1"/>
  <c r="A57" i="8" a="1"/>
  <c r="A57" i="8" s="1"/>
  <c r="D57" i="8" s="1"/>
  <c r="A56" i="8" a="1"/>
  <c r="A56" i="8" s="1"/>
  <c r="D56" i="8" s="1"/>
  <c r="A55" i="8" a="1"/>
  <c r="A55" i="8" s="1"/>
  <c r="F55" i="8" s="1"/>
  <c r="A54" i="8" a="1"/>
  <c r="A54" i="8" s="1"/>
  <c r="D54" i="8" s="1"/>
  <c r="A53" i="8" a="1"/>
  <c r="A53" i="8" s="1"/>
  <c r="D53" i="8" s="1"/>
  <c r="A52" i="8" a="1"/>
  <c r="A52" i="8" s="1"/>
  <c r="D52" i="8" s="1"/>
  <c r="A51" i="8" a="1"/>
  <c r="A51" i="8" s="1"/>
  <c r="D51" i="8" s="1"/>
  <c r="A50" i="8" a="1"/>
  <c r="A50" i="8" s="1"/>
  <c r="D50" i="8" s="1"/>
  <c r="A49" i="8" a="1"/>
  <c r="A49" i="8" s="1"/>
  <c r="D49" i="8" s="1"/>
  <c r="A48" i="8" a="1"/>
  <c r="A48" i="8" s="1"/>
  <c r="D48" i="8" s="1"/>
  <c r="A47" i="8" a="1"/>
  <c r="A47" i="8" s="1"/>
  <c r="F47" i="8" s="1"/>
  <c r="A46" i="8" a="1"/>
  <c r="A46" i="8" s="1"/>
  <c r="D46" i="8" s="1"/>
  <c r="A45" i="8" a="1"/>
  <c r="A45" i="8" s="1"/>
  <c r="D45" i="8" s="1"/>
  <c r="A44" i="8" a="1"/>
  <c r="A44" i="8" s="1"/>
  <c r="D44" i="8" s="1"/>
  <c r="A43" i="8" a="1"/>
  <c r="A43" i="8" s="1"/>
  <c r="D43" i="8" s="1"/>
  <c r="A42" i="8" a="1"/>
  <c r="A42" i="8" s="1"/>
  <c r="D42" i="8" s="1"/>
  <c r="A41" i="8" a="1"/>
  <c r="A41" i="8" s="1"/>
  <c r="D41" i="8" s="1"/>
  <c r="A40" i="8" a="1"/>
  <c r="A40" i="8" s="1"/>
  <c r="D40" i="8" s="1"/>
  <c r="A39" i="8" a="1"/>
  <c r="A39" i="8" s="1"/>
  <c r="F39" i="8" s="1"/>
  <c r="A38" i="8" a="1"/>
  <c r="A38" i="8" s="1"/>
  <c r="D38" i="8" s="1"/>
  <c r="A37" i="8" a="1"/>
  <c r="A37" i="8" s="1"/>
  <c r="D37" i="8" s="1"/>
  <c r="A36" i="8" a="1"/>
  <c r="A36" i="8" s="1"/>
  <c r="D36" i="8" s="1"/>
  <c r="A35" i="8" a="1"/>
  <c r="A35" i="8" s="1"/>
  <c r="D35" i="8" s="1"/>
  <c r="A34" i="8" a="1"/>
  <c r="A34" i="8" s="1"/>
  <c r="D34" i="8" s="1"/>
  <c r="A33" i="8" a="1"/>
  <c r="A33" i="8" s="1"/>
  <c r="D33" i="8" s="1"/>
  <c r="A32" i="8" a="1"/>
  <c r="A32" i="8" s="1"/>
  <c r="D32" i="8" s="1"/>
  <c r="A31" i="8" a="1"/>
  <c r="A31" i="8" s="1"/>
  <c r="F31" i="8" s="1"/>
  <c r="A30" i="8" a="1"/>
  <c r="A30" i="8" s="1"/>
  <c r="D30" i="8" s="1"/>
  <c r="A29" i="8" a="1"/>
  <c r="A29" i="8" s="1"/>
  <c r="D29" i="8" s="1"/>
  <c r="A28" i="8" a="1"/>
  <c r="A28" i="8" s="1"/>
  <c r="D28" i="8" s="1"/>
  <c r="A27" i="8" a="1"/>
  <c r="A27" i="8" s="1"/>
  <c r="D27" i="8" s="1"/>
  <c r="A26" i="8" a="1"/>
  <c r="A26" i="8" s="1"/>
  <c r="D26" i="8" s="1"/>
  <c r="A25" i="8" a="1"/>
  <c r="A25" i="8" s="1"/>
  <c r="D25" i="8" s="1"/>
  <c r="A24" i="8" a="1"/>
  <c r="A24" i="8" s="1"/>
  <c r="D24" i="8" s="1"/>
  <c r="A23" i="8" a="1"/>
  <c r="A23" i="8" s="1"/>
  <c r="F23" i="8" s="1"/>
  <c r="A22" i="8" a="1"/>
  <c r="A22" i="8" s="1"/>
  <c r="D22" i="8" s="1"/>
  <c r="A21" i="8" a="1"/>
  <c r="A21" i="8" s="1"/>
  <c r="D21" i="8" s="1"/>
  <c r="A20" i="8" a="1"/>
  <c r="A20" i="8" s="1"/>
  <c r="D20" i="8" s="1"/>
  <c r="A19" i="8" a="1"/>
  <c r="A19" i="8" s="1"/>
  <c r="D19" i="8" s="1"/>
  <c r="A18" i="8" a="1"/>
  <c r="A18" i="8" s="1"/>
  <c r="D18" i="8" s="1"/>
  <c r="A17" i="8" a="1"/>
  <c r="A17" i="8" s="1"/>
  <c r="A16" i="8" a="1"/>
  <c r="A16" i="8" s="1"/>
  <c r="A15" i="8" a="1"/>
  <c r="A15" i="8" s="1"/>
  <c r="F15" i="8" s="1"/>
  <c r="A14" i="8" a="1"/>
  <c r="A14" i="8" s="1"/>
  <c r="D14" i="8" s="1"/>
  <c r="A13" i="8" a="1"/>
  <c r="A13" i="8" s="1"/>
  <c r="D13" i="8" s="1"/>
  <c r="A12" i="8" a="1"/>
  <c r="A12" i="8" s="1"/>
  <c r="D12" i="8" s="1"/>
  <c r="A11" i="8" a="1"/>
  <c r="A11" i="8" s="1"/>
  <c r="D11" i="8" s="1"/>
  <c r="A10" i="8" a="1"/>
  <c r="A10" i="8" s="1"/>
  <c r="D10" i="8" s="1"/>
  <c r="A9" i="8" a="1"/>
  <c r="A9" i="8" s="1"/>
  <c r="D9" i="8" s="1"/>
  <c r="A8" i="8" a="1"/>
  <c r="A8" i="8" s="1"/>
  <c r="A7" i="8" a="1"/>
  <c r="A7" i="8" s="1"/>
  <c r="F7" i="8" s="1"/>
  <c r="J62" i="5"/>
  <c r="K62" i="5"/>
  <c r="L62" i="5"/>
  <c r="J63" i="5"/>
  <c r="K63" i="5"/>
  <c r="L63" i="5"/>
  <c r="J64" i="5"/>
  <c r="K64" i="5"/>
  <c r="L64" i="5"/>
  <c r="J65" i="5"/>
  <c r="K65" i="5"/>
  <c r="L65" i="5"/>
  <c r="J66" i="5"/>
  <c r="K66" i="5"/>
  <c r="L66" i="5"/>
  <c r="J67" i="5"/>
  <c r="K67" i="5"/>
  <c r="L67" i="5"/>
  <c r="J68" i="5"/>
  <c r="K68" i="5"/>
  <c r="L68" i="5"/>
  <c r="J69" i="5"/>
  <c r="K69" i="5"/>
  <c r="L69" i="5"/>
  <c r="J70" i="5"/>
  <c r="K70" i="5"/>
  <c r="L70" i="5"/>
  <c r="J71" i="5"/>
  <c r="K71" i="5"/>
  <c r="L71" i="5"/>
  <c r="J72" i="5"/>
  <c r="K72" i="5"/>
  <c r="L72" i="5"/>
  <c r="J73" i="5"/>
  <c r="K73" i="5"/>
  <c r="L73" i="5"/>
  <c r="J74" i="5"/>
  <c r="K74" i="5"/>
  <c r="L74" i="5"/>
  <c r="J75" i="5"/>
  <c r="K75" i="5"/>
  <c r="L75" i="5"/>
  <c r="J76" i="5"/>
  <c r="K76" i="5"/>
  <c r="L76" i="5"/>
  <c r="J77" i="5"/>
  <c r="K77" i="5"/>
  <c r="L77" i="5"/>
  <c r="J78" i="5"/>
  <c r="K78" i="5"/>
  <c r="L78" i="5"/>
  <c r="J79" i="5"/>
  <c r="K79" i="5"/>
  <c r="L79" i="5"/>
  <c r="J80" i="5"/>
  <c r="K80" i="5"/>
  <c r="L80" i="5"/>
  <c r="J81" i="5"/>
  <c r="K81" i="5"/>
  <c r="L81" i="5"/>
  <c r="J82" i="5"/>
  <c r="K82" i="5"/>
  <c r="L82" i="5"/>
  <c r="J83" i="5"/>
  <c r="K83" i="5"/>
  <c r="L83" i="5"/>
  <c r="J84" i="5"/>
  <c r="K84" i="5"/>
  <c r="L84" i="5"/>
  <c r="J85" i="5"/>
  <c r="K85" i="5"/>
  <c r="L85" i="5"/>
  <c r="J86" i="5"/>
  <c r="K86" i="5"/>
  <c r="L86" i="5"/>
  <c r="J87" i="5"/>
  <c r="K87" i="5"/>
  <c r="L87" i="5"/>
  <c r="J88" i="5"/>
  <c r="K88" i="5"/>
  <c r="L88" i="5"/>
  <c r="J89" i="5"/>
  <c r="K89" i="5"/>
  <c r="L89" i="5"/>
  <c r="J90" i="5"/>
  <c r="K90" i="5"/>
  <c r="L90" i="5"/>
  <c r="J91" i="5"/>
  <c r="K91" i="5"/>
  <c r="L91" i="5"/>
  <c r="J92" i="5"/>
  <c r="K92" i="5"/>
  <c r="L92" i="5"/>
  <c r="J93" i="5"/>
  <c r="K93" i="5"/>
  <c r="L93" i="5"/>
  <c r="J94" i="5"/>
  <c r="K94" i="5"/>
  <c r="L94" i="5"/>
  <c r="J95" i="5"/>
  <c r="K95" i="5"/>
  <c r="L95" i="5"/>
  <c r="J96" i="5"/>
  <c r="K96" i="5"/>
  <c r="L96" i="5"/>
  <c r="J97" i="5"/>
  <c r="K97" i="5"/>
  <c r="L97" i="5"/>
  <c r="J98" i="5"/>
  <c r="K98" i="5"/>
  <c r="L98" i="5"/>
  <c r="J99" i="5"/>
  <c r="K99" i="5"/>
  <c r="L99" i="5"/>
  <c r="J100" i="5"/>
  <c r="K100" i="5"/>
  <c r="L100" i="5"/>
  <c r="J101" i="5"/>
  <c r="K101" i="5"/>
  <c r="L101" i="5"/>
  <c r="J102" i="5"/>
  <c r="K102" i="5"/>
  <c r="L102" i="5"/>
  <c r="J103" i="5"/>
  <c r="K103" i="5"/>
  <c r="L103" i="5"/>
  <c r="J104" i="5"/>
  <c r="K104" i="5"/>
  <c r="L104" i="5"/>
  <c r="J105" i="5"/>
  <c r="K105" i="5"/>
  <c r="L105" i="5"/>
  <c r="J106" i="5"/>
  <c r="K106" i="5"/>
  <c r="L106" i="5"/>
  <c r="J107" i="5"/>
  <c r="K107" i="5"/>
  <c r="L107" i="5"/>
  <c r="J108" i="5"/>
  <c r="K108" i="5"/>
  <c r="L108" i="5"/>
  <c r="J109" i="5"/>
  <c r="K109" i="5"/>
  <c r="L109" i="5"/>
  <c r="J110" i="5"/>
  <c r="K110" i="5"/>
  <c r="L110" i="5"/>
  <c r="J111" i="5"/>
  <c r="K111" i="5"/>
  <c r="L111" i="5"/>
  <c r="J112" i="5"/>
  <c r="K112" i="5"/>
  <c r="L112" i="5"/>
  <c r="J113" i="5"/>
  <c r="K113" i="5"/>
  <c r="L113" i="5"/>
  <c r="J114" i="5"/>
  <c r="K114" i="5"/>
  <c r="L114" i="5"/>
  <c r="J115" i="5"/>
  <c r="K115" i="5"/>
  <c r="L115" i="5"/>
  <c r="J116" i="5"/>
  <c r="K116" i="5"/>
  <c r="L116" i="5"/>
  <c r="J117" i="5"/>
  <c r="K117" i="5"/>
  <c r="L117" i="5"/>
  <c r="J118" i="5"/>
  <c r="K118" i="5"/>
  <c r="L118" i="5"/>
  <c r="J119" i="5"/>
  <c r="K119" i="5"/>
  <c r="L119" i="5"/>
  <c r="J120" i="5"/>
  <c r="K120" i="5"/>
  <c r="L120" i="5"/>
  <c r="J121" i="5"/>
  <c r="K121" i="5"/>
  <c r="L121" i="5"/>
  <c r="J122" i="5"/>
  <c r="K122" i="5"/>
  <c r="L122" i="5"/>
  <c r="J123" i="5"/>
  <c r="K123" i="5"/>
  <c r="L123" i="5"/>
  <c r="J124" i="5"/>
  <c r="K124" i="5"/>
  <c r="L124" i="5"/>
  <c r="J125" i="5"/>
  <c r="K125" i="5"/>
  <c r="L125" i="5"/>
  <c r="J126" i="5"/>
  <c r="K126" i="5"/>
  <c r="L126" i="5"/>
  <c r="J127" i="5"/>
  <c r="K127" i="5"/>
  <c r="L127" i="5"/>
  <c r="J128" i="5"/>
  <c r="K128" i="5"/>
  <c r="L128" i="5"/>
  <c r="J129" i="5"/>
  <c r="K129" i="5"/>
  <c r="L129" i="5"/>
  <c r="J130" i="5"/>
  <c r="K130" i="5"/>
  <c r="L130" i="5"/>
  <c r="J131" i="5"/>
  <c r="K131" i="5"/>
  <c r="L131" i="5"/>
  <c r="J132" i="5"/>
  <c r="K132" i="5"/>
  <c r="L132" i="5"/>
  <c r="J133" i="5"/>
  <c r="K133" i="5"/>
  <c r="L133" i="5"/>
  <c r="J134" i="5"/>
  <c r="K134" i="5"/>
  <c r="L134" i="5"/>
  <c r="J135" i="5"/>
  <c r="K135" i="5"/>
  <c r="L135" i="5"/>
  <c r="J136" i="5"/>
  <c r="K136" i="5"/>
  <c r="L136" i="5"/>
  <c r="J137" i="5"/>
  <c r="K137" i="5"/>
  <c r="L137" i="5"/>
  <c r="J138" i="5"/>
  <c r="K138" i="5"/>
  <c r="L138" i="5"/>
  <c r="J139" i="5"/>
  <c r="K139" i="5"/>
  <c r="L139" i="5"/>
  <c r="J140" i="5"/>
  <c r="K140" i="5"/>
  <c r="L140" i="5"/>
  <c r="J141" i="5"/>
  <c r="K141" i="5"/>
  <c r="L141" i="5"/>
  <c r="J142" i="5"/>
  <c r="K142" i="5"/>
  <c r="L142" i="5"/>
  <c r="J143" i="5"/>
  <c r="K143" i="5"/>
  <c r="L143" i="5"/>
  <c r="J144" i="5"/>
  <c r="K144" i="5"/>
  <c r="L144" i="5"/>
  <c r="J145" i="5"/>
  <c r="K145" i="5"/>
  <c r="L145" i="5"/>
  <c r="J146" i="5"/>
  <c r="K146" i="5"/>
  <c r="L146" i="5"/>
  <c r="J147" i="5"/>
  <c r="K147" i="5"/>
  <c r="L147" i="5"/>
  <c r="J148" i="5"/>
  <c r="K148" i="5"/>
  <c r="L148" i="5"/>
  <c r="J149" i="5"/>
  <c r="K149" i="5"/>
  <c r="L149" i="5"/>
  <c r="J150" i="5"/>
  <c r="K150" i="5"/>
  <c r="L150" i="5"/>
  <c r="J151" i="5"/>
  <c r="K151" i="5"/>
  <c r="L151" i="5"/>
  <c r="J152" i="5"/>
  <c r="K152" i="5"/>
  <c r="L152" i="5"/>
  <c r="J153" i="5"/>
  <c r="K153" i="5"/>
  <c r="L153" i="5"/>
  <c r="J154" i="5"/>
  <c r="K154" i="5"/>
  <c r="L154" i="5"/>
  <c r="J155" i="5"/>
  <c r="K155" i="5"/>
  <c r="L155" i="5"/>
  <c r="J156" i="5"/>
  <c r="K156" i="5"/>
  <c r="L156" i="5"/>
  <c r="J157" i="5"/>
  <c r="K157" i="5"/>
  <c r="L157" i="5"/>
  <c r="J158" i="5"/>
  <c r="K158" i="5"/>
  <c r="L158" i="5"/>
  <c r="J159" i="5"/>
  <c r="K159" i="5"/>
  <c r="L159" i="5"/>
  <c r="J160" i="5"/>
  <c r="K160" i="5"/>
  <c r="L160" i="5"/>
  <c r="J161" i="5"/>
  <c r="K161" i="5"/>
  <c r="L161" i="5"/>
  <c r="J162" i="5"/>
  <c r="K162" i="5"/>
  <c r="L162" i="5"/>
  <c r="J163" i="5"/>
  <c r="K163" i="5"/>
  <c r="L163" i="5"/>
  <c r="J164" i="5"/>
  <c r="K164" i="5"/>
  <c r="L164" i="5"/>
  <c r="J165" i="5"/>
  <c r="K165" i="5"/>
  <c r="L165" i="5"/>
  <c r="J166" i="5"/>
  <c r="K166" i="5"/>
  <c r="L166" i="5"/>
  <c r="J167" i="5"/>
  <c r="K167" i="5"/>
  <c r="L167" i="5"/>
  <c r="J168" i="5"/>
  <c r="K168" i="5"/>
  <c r="L168" i="5"/>
  <c r="J169" i="5"/>
  <c r="K169" i="5"/>
  <c r="L169" i="5"/>
  <c r="J170" i="5"/>
  <c r="K170" i="5"/>
  <c r="L170" i="5"/>
  <c r="J171" i="5"/>
  <c r="K171" i="5"/>
  <c r="L171" i="5"/>
  <c r="J172" i="5"/>
  <c r="K172" i="5"/>
  <c r="L172" i="5"/>
  <c r="J173" i="5"/>
  <c r="K173" i="5"/>
  <c r="L173" i="5"/>
  <c r="J174" i="5"/>
  <c r="K174" i="5"/>
  <c r="L174" i="5"/>
  <c r="J175" i="5"/>
  <c r="K175" i="5"/>
  <c r="L175" i="5"/>
  <c r="J176" i="5"/>
  <c r="K176" i="5"/>
  <c r="L176" i="5"/>
  <c r="J177" i="5"/>
  <c r="K177" i="5"/>
  <c r="L177" i="5"/>
  <c r="J178" i="5"/>
  <c r="K178" i="5"/>
  <c r="L178" i="5"/>
  <c r="J179" i="5"/>
  <c r="K179" i="5"/>
  <c r="L179" i="5"/>
  <c r="J180" i="5"/>
  <c r="K180" i="5"/>
  <c r="L180" i="5"/>
  <c r="J181" i="5"/>
  <c r="K181" i="5"/>
  <c r="L181" i="5"/>
  <c r="J182" i="5"/>
  <c r="K182" i="5"/>
  <c r="L182" i="5"/>
  <c r="J183" i="5"/>
  <c r="K183" i="5"/>
  <c r="L183" i="5"/>
  <c r="J184" i="5"/>
  <c r="K184" i="5"/>
  <c r="L184" i="5"/>
  <c r="J185" i="5"/>
  <c r="K185" i="5"/>
  <c r="L185" i="5"/>
  <c r="J186" i="5"/>
  <c r="K186" i="5"/>
  <c r="L186" i="5"/>
  <c r="J187" i="5"/>
  <c r="K187" i="5"/>
  <c r="L187" i="5"/>
  <c r="J188" i="5"/>
  <c r="K188" i="5"/>
  <c r="L188" i="5"/>
  <c r="J189" i="5"/>
  <c r="K189" i="5"/>
  <c r="L189" i="5"/>
  <c r="J190" i="5"/>
  <c r="K190" i="5"/>
  <c r="L190" i="5"/>
  <c r="J191" i="5"/>
  <c r="K191" i="5"/>
  <c r="L191" i="5"/>
  <c r="J192" i="5"/>
  <c r="K192" i="5"/>
  <c r="L192" i="5"/>
  <c r="J193" i="5"/>
  <c r="K193" i="5"/>
  <c r="L193" i="5"/>
  <c r="J194" i="5"/>
  <c r="K194" i="5"/>
  <c r="L194" i="5"/>
  <c r="J195" i="5"/>
  <c r="K195" i="5"/>
  <c r="L195" i="5"/>
  <c r="J196" i="5"/>
  <c r="K196" i="5"/>
  <c r="L196" i="5"/>
  <c r="J197" i="5"/>
  <c r="K197" i="5"/>
  <c r="L197" i="5"/>
  <c r="J198" i="5"/>
  <c r="K198" i="5"/>
  <c r="L198" i="5"/>
  <c r="J199" i="5"/>
  <c r="K199" i="5"/>
  <c r="L199" i="5"/>
  <c r="J200" i="5"/>
  <c r="K200" i="5"/>
  <c r="L200" i="5"/>
  <c r="J201" i="5"/>
  <c r="K201" i="5"/>
  <c r="L201" i="5"/>
  <c r="J202" i="5"/>
  <c r="K202" i="5"/>
  <c r="L202" i="5"/>
  <c r="J203" i="5"/>
  <c r="K203" i="5"/>
  <c r="L203" i="5"/>
  <c r="J204" i="5"/>
  <c r="K204" i="5"/>
  <c r="L204" i="5"/>
  <c r="J205" i="5"/>
  <c r="K205" i="5"/>
  <c r="L205" i="5"/>
  <c r="J206" i="5"/>
  <c r="K206" i="5"/>
  <c r="L206" i="5"/>
  <c r="J207" i="5"/>
  <c r="K207" i="5"/>
  <c r="L207" i="5"/>
  <c r="J208" i="5"/>
  <c r="K208" i="5"/>
  <c r="L208" i="5"/>
  <c r="J209" i="5"/>
  <c r="K209" i="5"/>
  <c r="L209" i="5"/>
  <c r="J210" i="5"/>
  <c r="K210" i="5"/>
  <c r="L210" i="5"/>
  <c r="J211" i="5"/>
  <c r="K211" i="5"/>
  <c r="L211" i="5"/>
  <c r="J212" i="5"/>
  <c r="K212" i="5"/>
  <c r="L212" i="5"/>
  <c r="J213" i="5"/>
  <c r="K213" i="5"/>
  <c r="L213" i="5"/>
  <c r="J214" i="5"/>
  <c r="K214" i="5"/>
  <c r="L214" i="5"/>
  <c r="J215" i="5"/>
  <c r="K215" i="5"/>
  <c r="L215" i="5"/>
  <c r="J216" i="5"/>
  <c r="K216" i="5"/>
  <c r="L216" i="5"/>
  <c r="J217" i="5"/>
  <c r="K217" i="5"/>
  <c r="L217" i="5"/>
  <c r="J218" i="5"/>
  <c r="K218" i="5"/>
  <c r="L218" i="5"/>
  <c r="J219" i="5"/>
  <c r="K219" i="5"/>
  <c r="L219" i="5"/>
  <c r="J220" i="5"/>
  <c r="K220" i="5"/>
  <c r="L220" i="5"/>
  <c r="J221" i="5"/>
  <c r="K221" i="5"/>
  <c r="L221" i="5"/>
  <c r="J222" i="5"/>
  <c r="K222" i="5"/>
  <c r="L222" i="5"/>
  <c r="J223" i="5"/>
  <c r="K223" i="5"/>
  <c r="L223" i="5"/>
  <c r="J224" i="5"/>
  <c r="K224" i="5"/>
  <c r="L224" i="5"/>
  <c r="J225" i="5"/>
  <c r="K225" i="5"/>
  <c r="L225" i="5"/>
  <c r="J226" i="5"/>
  <c r="K226" i="5"/>
  <c r="L226" i="5"/>
  <c r="J227" i="5"/>
  <c r="K227" i="5"/>
  <c r="L227" i="5"/>
  <c r="J228" i="5"/>
  <c r="K228" i="5"/>
  <c r="L228" i="5"/>
  <c r="J229" i="5"/>
  <c r="K229" i="5"/>
  <c r="L229" i="5"/>
  <c r="J230" i="5"/>
  <c r="K230" i="5"/>
  <c r="L230" i="5"/>
  <c r="J231" i="5"/>
  <c r="K231" i="5"/>
  <c r="L231" i="5"/>
  <c r="J232" i="5"/>
  <c r="K232" i="5"/>
  <c r="L232" i="5"/>
  <c r="J233" i="5"/>
  <c r="K233" i="5"/>
  <c r="L233" i="5"/>
  <c r="J234" i="5"/>
  <c r="K234" i="5"/>
  <c r="L234" i="5"/>
  <c r="J235" i="5"/>
  <c r="K235" i="5"/>
  <c r="L235" i="5"/>
  <c r="J236" i="5"/>
  <c r="K236" i="5"/>
  <c r="L236" i="5"/>
  <c r="J237" i="5"/>
  <c r="K237" i="5"/>
  <c r="L237" i="5"/>
  <c r="J238" i="5"/>
  <c r="K238" i="5"/>
  <c r="L238" i="5"/>
  <c r="J239" i="5"/>
  <c r="K239" i="5"/>
  <c r="L239" i="5"/>
  <c r="J240" i="5"/>
  <c r="K240" i="5"/>
  <c r="L240" i="5"/>
  <c r="J241" i="5"/>
  <c r="K241" i="5"/>
  <c r="L241" i="5"/>
  <c r="J242" i="5"/>
  <c r="K242" i="5"/>
  <c r="L242" i="5"/>
  <c r="J243" i="5"/>
  <c r="K243" i="5"/>
  <c r="L243" i="5"/>
  <c r="J244" i="5"/>
  <c r="K244" i="5"/>
  <c r="L244" i="5"/>
  <c r="J245" i="5"/>
  <c r="K245" i="5"/>
  <c r="L245" i="5"/>
  <c r="J246" i="5"/>
  <c r="K246" i="5"/>
  <c r="L246" i="5"/>
  <c r="J247" i="5"/>
  <c r="K247" i="5"/>
  <c r="L247" i="5"/>
  <c r="J248" i="5"/>
  <c r="K248" i="5"/>
  <c r="L248" i="5"/>
  <c r="J249" i="5"/>
  <c r="K249" i="5"/>
  <c r="L249" i="5"/>
  <c r="J250" i="5"/>
  <c r="K250" i="5"/>
  <c r="L250" i="5"/>
  <c r="J251" i="5"/>
  <c r="K251" i="5"/>
  <c r="L251" i="5"/>
  <c r="J252" i="5"/>
  <c r="K252" i="5"/>
  <c r="L252" i="5"/>
  <c r="J253" i="5"/>
  <c r="K253" i="5"/>
  <c r="L253" i="5"/>
  <c r="J254" i="5"/>
  <c r="K254" i="5"/>
  <c r="L254" i="5"/>
  <c r="J255" i="5"/>
  <c r="K255" i="5"/>
  <c r="L255" i="5"/>
  <c r="J256" i="5"/>
  <c r="K256" i="5"/>
  <c r="L256" i="5"/>
  <c r="J257" i="5"/>
  <c r="K257" i="5"/>
  <c r="L257" i="5"/>
  <c r="J258" i="5"/>
  <c r="K258" i="5"/>
  <c r="L258" i="5"/>
  <c r="J259" i="5"/>
  <c r="K259" i="5"/>
  <c r="L259" i="5"/>
  <c r="J260" i="5"/>
  <c r="K260" i="5"/>
  <c r="L260" i="5"/>
  <c r="J261" i="5"/>
  <c r="K261" i="5"/>
  <c r="L261" i="5"/>
  <c r="J262" i="5"/>
  <c r="K262" i="5"/>
  <c r="L262" i="5"/>
  <c r="J263" i="5"/>
  <c r="K263" i="5"/>
  <c r="L263" i="5"/>
  <c r="J264" i="5"/>
  <c r="K264" i="5"/>
  <c r="L264" i="5"/>
  <c r="J265" i="5"/>
  <c r="K265" i="5"/>
  <c r="L265" i="5"/>
  <c r="J266" i="5"/>
  <c r="K266" i="5"/>
  <c r="L266" i="5"/>
  <c r="J267" i="5"/>
  <c r="K267" i="5"/>
  <c r="L267" i="5"/>
  <c r="J268" i="5"/>
  <c r="K268" i="5"/>
  <c r="L268" i="5"/>
  <c r="J269" i="5"/>
  <c r="K269" i="5"/>
  <c r="L269" i="5"/>
  <c r="J270" i="5"/>
  <c r="K270" i="5"/>
  <c r="L270" i="5"/>
  <c r="J271" i="5"/>
  <c r="K271" i="5"/>
  <c r="L271" i="5"/>
  <c r="J272" i="5"/>
  <c r="K272" i="5"/>
  <c r="L272" i="5"/>
  <c r="J273" i="5"/>
  <c r="K273" i="5"/>
  <c r="L273" i="5"/>
  <c r="J274" i="5"/>
  <c r="K274" i="5"/>
  <c r="L274" i="5"/>
  <c r="J275" i="5"/>
  <c r="K275" i="5"/>
  <c r="L275" i="5"/>
  <c r="J276" i="5"/>
  <c r="K276" i="5"/>
  <c r="L276" i="5"/>
  <c r="J277" i="5"/>
  <c r="K277" i="5"/>
  <c r="L277" i="5"/>
  <c r="J278" i="5"/>
  <c r="K278" i="5"/>
  <c r="L278" i="5"/>
  <c r="J279" i="5"/>
  <c r="K279" i="5"/>
  <c r="L279" i="5"/>
  <c r="J280" i="5"/>
  <c r="K280" i="5"/>
  <c r="L280" i="5"/>
  <c r="J281" i="5"/>
  <c r="K281" i="5"/>
  <c r="L281" i="5"/>
  <c r="J282" i="5"/>
  <c r="K282" i="5"/>
  <c r="L282" i="5"/>
  <c r="J283" i="5"/>
  <c r="K283" i="5"/>
  <c r="L283" i="5"/>
  <c r="J284" i="5"/>
  <c r="K284" i="5"/>
  <c r="L284" i="5"/>
  <c r="J285" i="5"/>
  <c r="K285" i="5"/>
  <c r="L285" i="5"/>
  <c r="J286" i="5"/>
  <c r="K286" i="5"/>
  <c r="L286" i="5"/>
  <c r="J287" i="5"/>
  <c r="K287" i="5"/>
  <c r="L287" i="5"/>
  <c r="J288" i="5"/>
  <c r="K288" i="5"/>
  <c r="L288" i="5"/>
  <c r="J289" i="5"/>
  <c r="K289" i="5"/>
  <c r="L289" i="5"/>
  <c r="J290" i="5"/>
  <c r="K290" i="5"/>
  <c r="L290" i="5"/>
  <c r="J291" i="5"/>
  <c r="K291" i="5"/>
  <c r="L291" i="5"/>
  <c r="J292" i="5"/>
  <c r="K292" i="5"/>
  <c r="L292" i="5"/>
  <c r="J293" i="5"/>
  <c r="K293" i="5"/>
  <c r="L293" i="5"/>
  <c r="J294" i="5"/>
  <c r="K294" i="5"/>
  <c r="L294" i="5"/>
  <c r="J295" i="5"/>
  <c r="K295" i="5"/>
  <c r="L295" i="5"/>
  <c r="J296" i="5"/>
  <c r="K296" i="5"/>
  <c r="L296" i="5"/>
  <c r="J297" i="5"/>
  <c r="K297" i="5"/>
  <c r="L297" i="5"/>
  <c r="J298" i="5"/>
  <c r="K298" i="5"/>
  <c r="L298" i="5"/>
  <c r="J299" i="5"/>
  <c r="K299" i="5"/>
  <c r="L299" i="5"/>
  <c r="J300" i="5"/>
  <c r="K300" i="5"/>
  <c r="L300" i="5"/>
  <c r="J301" i="5"/>
  <c r="K301" i="5"/>
  <c r="L301" i="5"/>
  <c r="J302" i="5"/>
  <c r="K302" i="5"/>
  <c r="L302" i="5"/>
  <c r="J303" i="5"/>
  <c r="K303" i="5"/>
  <c r="L303" i="5"/>
  <c r="J304" i="5"/>
  <c r="K304" i="5"/>
  <c r="L304" i="5"/>
  <c r="J305" i="5"/>
  <c r="K305" i="5"/>
  <c r="L305" i="5"/>
  <c r="J306" i="5"/>
  <c r="K306" i="5"/>
  <c r="L306" i="5"/>
  <c r="J307" i="5"/>
  <c r="K307" i="5"/>
  <c r="L307" i="5"/>
  <c r="J308" i="5"/>
  <c r="K308" i="5"/>
  <c r="L308" i="5"/>
  <c r="J309" i="5"/>
  <c r="K309" i="5"/>
  <c r="L309" i="5"/>
  <c r="J310" i="5"/>
  <c r="K310" i="5"/>
  <c r="L310" i="5"/>
  <c r="J311" i="5"/>
  <c r="K311" i="5"/>
  <c r="L311" i="5"/>
  <c r="J312" i="5"/>
  <c r="K312" i="5"/>
  <c r="L312" i="5"/>
  <c r="J313" i="5"/>
  <c r="K313" i="5"/>
  <c r="L313" i="5"/>
  <c r="J314" i="5"/>
  <c r="K314" i="5"/>
  <c r="L314" i="5"/>
  <c r="J315" i="5"/>
  <c r="K315" i="5"/>
  <c r="L315" i="5"/>
  <c r="J316" i="5"/>
  <c r="K316" i="5"/>
  <c r="L316" i="5"/>
  <c r="J317" i="5"/>
  <c r="K317" i="5"/>
  <c r="L317" i="5"/>
  <c r="J318" i="5"/>
  <c r="K318" i="5"/>
  <c r="L318" i="5"/>
  <c r="J319" i="5"/>
  <c r="K319" i="5"/>
  <c r="L319" i="5"/>
  <c r="J320" i="5"/>
  <c r="K320" i="5"/>
  <c r="L320" i="5"/>
  <c r="J321" i="5"/>
  <c r="K321" i="5"/>
  <c r="L321" i="5"/>
  <c r="J322" i="5"/>
  <c r="K322" i="5"/>
  <c r="L322" i="5"/>
  <c r="J323" i="5"/>
  <c r="K323" i="5"/>
  <c r="L323" i="5"/>
  <c r="J324" i="5"/>
  <c r="K324" i="5"/>
  <c r="L324" i="5"/>
  <c r="J325" i="5"/>
  <c r="K325" i="5"/>
  <c r="L325" i="5"/>
  <c r="J326" i="5"/>
  <c r="K326" i="5"/>
  <c r="L326" i="5"/>
  <c r="J327" i="5"/>
  <c r="K327" i="5"/>
  <c r="L327" i="5"/>
  <c r="J328" i="5"/>
  <c r="K328" i="5"/>
  <c r="L328" i="5"/>
  <c r="J329" i="5"/>
  <c r="K329" i="5"/>
  <c r="L329" i="5"/>
  <c r="J330" i="5"/>
  <c r="K330" i="5"/>
  <c r="L330" i="5"/>
  <c r="J331" i="5"/>
  <c r="K331" i="5"/>
  <c r="L331" i="5"/>
  <c r="J332" i="5"/>
  <c r="K332" i="5"/>
  <c r="L332" i="5"/>
  <c r="J333" i="5"/>
  <c r="K333" i="5"/>
  <c r="L333" i="5"/>
  <c r="J334" i="5"/>
  <c r="K334" i="5"/>
  <c r="L334" i="5"/>
  <c r="J335" i="5"/>
  <c r="K335" i="5"/>
  <c r="L335" i="5"/>
  <c r="J336" i="5"/>
  <c r="K336" i="5"/>
  <c r="L336" i="5"/>
  <c r="J337" i="5"/>
  <c r="K337" i="5"/>
  <c r="L337" i="5"/>
  <c r="J338" i="5"/>
  <c r="K338" i="5"/>
  <c r="L338" i="5"/>
  <c r="J339" i="5"/>
  <c r="K339" i="5"/>
  <c r="L339" i="5"/>
  <c r="J340" i="5"/>
  <c r="K340" i="5"/>
  <c r="L340" i="5"/>
  <c r="J341" i="5"/>
  <c r="K341" i="5"/>
  <c r="L341" i="5"/>
  <c r="J342" i="5"/>
  <c r="K342" i="5"/>
  <c r="L342" i="5"/>
  <c r="J343" i="5"/>
  <c r="K343" i="5"/>
  <c r="L343" i="5"/>
  <c r="J344" i="5"/>
  <c r="K344" i="5"/>
  <c r="L344" i="5"/>
  <c r="J345" i="5"/>
  <c r="K345" i="5"/>
  <c r="L345" i="5"/>
  <c r="J346" i="5"/>
  <c r="K346" i="5"/>
  <c r="L346" i="5"/>
  <c r="J347" i="5"/>
  <c r="K347" i="5"/>
  <c r="L347" i="5"/>
  <c r="J348" i="5"/>
  <c r="K348" i="5"/>
  <c r="L348" i="5"/>
  <c r="J349" i="5"/>
  <c r="K349" i="5"/>
  <c r="L349" i="5"/>
  <c r="J350" i="5"/>
  <c r="K350" i="5"/>
  <c r="L350" i="5"/>
  <c r="J351" i="5"/>
  <c r="K351" i="5"/>
  <c r="L351" i="5"/>
  <c r="J352" i="5"/>
  <c r="K352" i="5"/>
  <c r="L352" i="5"/>
  <c r="J353" i="5"/>
  <c r="K353" i="5"/>
  <c r="L353" i="5"/>
  <c r="J354" i="5"/>
  <c r="K354" i="5"/>
  <c r="L354" i="5"/>
  <c r="J355" i="5"/>
  <c r="K355" i="5"/>
  <c r="L355" i="5"/>
  <c r="J356" i="5"/>
  <c r="K356" i="5"/>
  <c r="L356" i="5"/>
  <c r="J357" i="5"/>
  <c r="K357" i="5"/>
  <c r="L357" i="5"/>
  <c r="J358" i="5"/>
  <c r="K358" i="5"/>
  <c r="L358" i="5"/>
  <c r="J359" i="5"/>
  <c r="K359" i="5"/>
  <c r="L359" i="5"/>
  <c r="J360" i="5"/>
  <c r="K360" i="5"/>
  <c r="L360" i="5"/>
  <c r="J361" i="5"/>
  <c r="K361" i="5"/>
  <c r="L361" i="5"/>
  <c r="J362" i="5"/>
  <c r="K362" i="5"/>
  <c r="L362" i="5"/>
  <c r="J363" i="5"/>
  <c r="K363" i="5"/>
  <c r="L363" i="5"/>
  <c r="J364" i="5"/>
  <c r="K364" i="5"/>
  <c r="L364" i="5"/>
  <c r="J365" i="5"/>
  <c r="K365" i="5"/>
  <c r="L365" i="5"/>
  <c r="J366" i="5"/>
  <c r="K366" i="5"/>
  <c r="L366" i="5"/>
  <c r="J367" i="5"/>
  <c r="K367" i="5"/>
  <c r="L367" i="5"/>
  <c r="J368" i="5"/>
  <c r="K368" i="5"/>
  <c r="L368" i="5"/>
  <c r="J369" i="5"/>
  <c r="K369" i="5"/>
  <c r="L369" i="5"/>
  <c r="J370" i="5"/>
  <c r="K370" i="5"/>
  <c r="L370" i="5"/>
  <c r="J371" i="5"/>
  <c r="K371" i="5"/>
  <c r="L371" i="5"/>
  <c r="J372" i="5"/>
  <c r="K372" i="5"/>
  <c r="L372" i="5"/>
  <c r="J373" i="5"/>
  <c r="K373" i="5"/>
  <c r="L373" i="5"/>
  <c r="J374" i="5"/>
  <c r="K374" i="5"/>
  <c r="L374" i="5"/>
  <c r="J375" i="5"/>
  <c r="K375" i="5"/>
  <c r="L375" i="5"/>
  <c r="J376" i="5"/>
  <c r="K376" i="5"/>
  <c r="L376" i="5"/>
  <c r="J377" i="5"/>
  <c r="K377" i="5"/>
  <c r="L377" i="5"/>
  <c r="J378" i="5"/>
  <c r="K378" i="5"/>
  <c r="L378" i="5"/>
  <c r="J379" i="5"/>
  <c r="K379" i="5"/>
  <c r="L379" i="5"/>
  <c r="J380" i="5"/>
  <c r="K380" i="5"/>
  <c r="L380" i="5"/>
  <c r="J381" i="5"/>
  <c r="K381" i="5"/>
  <c r="L381" i="5"/>
  <c r="J382" i="5"/>
  <c r="K382" i="5"/>
  <c r="L382" i="5"/>
  <c r="J383" i="5"/>
  <c r="K383" i="5"/>
  <c r="L383" i="5"/>
  <c r="J384" i="5"/>
  <c r="K384" i="5"/>
  <c r="L384" i="5"/>
  <c r="J385" i="5"/>
  <c r="K385" i="5"/>
  <c r="L385" i="5"/>
  <c r="J386" i="5"/>
  <c r="K386" i="5"/>
  <c r="L386" i="5"/>
  <c r="J387" i="5"/>
  <c r="K387" i="5"/>
  <c r="L387" i="5"/>
  <c r="J388" i="5"/>
  <c r="K388" i="5"/>
  <c r="L388" i="5"/>
  <c r="J389" i="5"/>
  <c r="K389" i="5"/>
  <c r="L389" i="5"/>
  <c r="J390" i="5"/>
  <c r="K390" i="5"/>
  <c r="L390" i="5"/>
  <c r="J391" i="5"/>
  <c r="K391" i="5"/>
  <c r="L391" i="5"/>
  <c r="J392" i="5"/>
  <c r="K392" i="5"/>
  <c r="L392" i="5"/>
  <c r="J393" i="5"/>
  <c r="K393" i="5"/>
  <c r="L393" i="5"/>
  <c r="J394" i="5"/>
  <c r="K394" i="5"/>
  <c r="L394" i="5"/>
  <c r="J395" i="5"/>
  <c r="K395" i="5"/>
  <c r="L395" i="5"/>
  <c r="J396" i="5"/>
  <c r="K396" i="5"/>
  <c r="L396" i="5"/>
  <c r="J397" i="5"/>
  <c r="K397" i="5"/>
  <c r="L397" i="5"/>
  <c r="J398" i="5"/>
  <c r="K398" i="5"/>
  <c r="L398" i="5"/>
  <c r="J399" i="5"/>
  <c r="K399" i="5"/>
  <c r="L399" i="5"/>
  <c r="J400" i="5"/>
  <c r="K400" i="5"/>
  <c r="L400" i="5"/>
  <c r="J401" i="5"/>
  <c r="K401" i="5"/>
  <c r="L401" i="5"/>
  <c r="J402" i="5"/>
  <c r="K402" i="5"/>
  <c r="L402" i="5"/>
  <c r="J403" i="5"/>
  <c r="K403" i="5"/>
  <c r="L403" i="5"/>
  <c r="J404" i="5"/>
  <c r="K404" i="5"/>
  <c r="L404" i="5"/>
  <c r="J405" i="5"/>
  <c r="K405" i="5"/>
  <c r="L405" i="5"/>
  <c r="J406" i="5"/>
  <c r="K406" i="5"/>
  <c r="L406" i="5"/>
  <c r="J407" i="5"/>
  <c r="K407" i="5"/>
  <c r="L407" i="5"/>
  <c r="J408" i="5"/>
  <c r="K408" i="5"/>
  <c r="L408" i="5"/>
  <c r="J409" i="5"/>
  <c r="K409" i="5"/>
  <c r="L409" i="5"/>
  <c r="J410" i="5"/>
  <c r="K410" i="5"/>
  <c r="L410" i="5"/>
  <c r="J411" i="5"/>
  <c r="K411" i="5"/>
  <c r="L411" i="5"/>
  <c r="J412" i="5"/>
  <c r="K412" i="5"/>
  <c r="L412" i="5"/>
  <c r="J413" i="5"/>
  <c r="K413" i="5"/>
  <c r="L413" i="5"/>
  <c r="J414" i="5"/>
  <c r="K414" i="5"/>
  <c r="L414" i="5"/>
  <c r="J415" i="5"/>
  <c r="K415" i="5"/>
  <c r="L415" i="5"/>
  <c r="J416" i="5"/>
  <c r="K416" i="5"/>
  <c r="L416" i="5"/>
  <c r="J417" i="5"/>
  <c r="K417" i="5"/>
  <c r="L417" i="5"/>
  <c r="J418" i="5"/>
  <c r="K418" i="5"/>
  <c r="L418" i="5"/>
  <c r="J419" i="5"/>
  <c r="K419" i="5"/>
  <c r="L419" i="5"/>
  <c r="J420" i="5"/>
  <c r="K420" i="5"/>
  <c r="L420" i="5"/>
  <c r="J421" i="5"/>
  <c r="K421" i="5"/>
  <c r="L421" i="5"/>
  <c r="J422" i="5"/>
  <c r="K422" i="5"/>
  <c r="L422" i="5"/>
  <c r="J423" i="5"/>
  <c r="K423" i="5"/>
  <c r="L423" i="5"/>
  <c r="J424" i="5"/>
  <c r="K424" i="5"/>
  <c r="L424" i="5"/>
  <c r="J425" i="5"/>
  <c r="K425" i="5"/>
  <c r="L425" i="5"/>
  <c r="J426" i="5"/>
  <c r="K426" i="5"/>
  <c r="L426" i="5"/>
  <c r="J427" i="5"/>
  <c r="K427" i="5"/>
  <c r="L427" i="5"/>
  <c r="J428" i="5"/>
  <c r="K428" i="5"/>
  <c r="L428" i="5"/>
  <c r="J429" i="5"/>
  <c r="K429" i="5"/>
  <c r="L429" i="5"/>
  <c r="J430" i="5"/>
  <c r="K430" i="5"/>
  <c r="L430" i="5"/>
  <c r="J431" i="5"/>
  <c r="K431" i="5"/>
  <c r="L431" i="5"/>
  <c r="J432" i="5"/>
  <c r="K432" i="5"/>
  <c r="L432" i="5"/>
  <c r="J433" i="5"/>
  <c r="K433" i="5"/>
  <c r="L433" i="5"/>
  <c r="J434" i="5"/>
  <c r="K434" i="5"/>
  <c r="L434" i="5"/>
  <c r="J435" i="5"/>
  <c r="K435" i="5"/>
  <c r="L435" i="5"/>
  <c r="J436" i="5"/>
  <c r="K436" i="5"/>
  <c r="L436" i="5"/>
  <c r="J437" i="5"/>
  <c r="K437" i="5"/>
  <c r="L437" i="5"/>
  <c r="J438" i="5"/>
  <c r="K438" i="5"/>
  <c r="L438" i="5"/>
  <c r="J439" i="5"/>
  <c r="K439" i="5"/>
  <c r="L439" i="5"/>
  <c r="J440" i="5"/>
  <c r="K440" i="5"/>
  <c r="L440" i="5"/>
  <c r="J441" i="5"/>
  <c r="K441" i="5"/>
  <c r="L441" i="5"/>
  <c r="J442" i="5"/>
  <c r="K442" i="5"/>
  <c r="L442" i="5"/>
  <c r="J443" i="5"/>
  <c r="K443" i="5"/>
  <c r="L443" i="5"/>
  <c r="J444" i="5"/>
  <c r="K444" i="5"/>
  <c r="L444" i="5"/>
  <c r="J445" i="5"/>
  <c r="K445" i="5"/>
  <c r="L445" i="5"/>
  <c r="J446" i="5"/>
  <c r="K446" i="5"/>
  <c r="L446" i="5"/>
  <c r="J447" i="5"/>
  <c r="K447" i="5"/>
  <c r="L447" i="5"/>
  <c r="J448" i="5"/>
  <c r="K448" i="5"/>
  <c r="L448" i="5"/>
  <c r="J449" i="5"/>
  <c r="K449" i="5"/>
  <c r="L449" i="5"/>
  <c r="J450" i="5"/>
  <c r="K450" i="5"/>
  <c r="L450" i="5"/>
  <c r="J451" i="5"/>
  <c r="K451" i="5"/>
  <c r="L451" i="5"/>
  <c r="J452" i="5"/>
  <c r="K452" i="5"/>
  <c r="L452" i="5"/>
  <c r="J453" i="5"/>
  <c r="K453" i="5"/>
  <c r="L453" i="5"/>
  <c r="J454" i="5"/>
  <c r="K454" i="5"/>
  <c r="L454" i="5"/>
  <c r="J455" i="5"/>
  <c r="K455" i="5"/>
  <c r="L455" i="5"/>
  <c r="J456" i="5"/>
  <c r="K456" i="5"/>
  <c r="L456" i="5"/>
  <c r="J457" i="5"/>
  <c r="K457" i="5"/>
  <c r="L457" i="5"/>
  <c r="J458" i="5"/>
  <c r="K458" i="5"/>
  <c r="L458" i="5"/>
  <c r="J459" i="5"/>
  <c r="K459" i="5"/>
  <c r="L459" i="5"/>
  <c r="J460" i="5"/>
  <c r="K460" i="5"/>
  <c r="L460" i="5"/>
  <c r="J461" i="5"/>
  <c r="K461" i="5"/>
  <c r="L461" i="5"/>
  <c r="J462" i="5"/>
  <c r="K462" i="5"/>
  <c r="L462" i="5"/>
  <c r="J463" i="5"/>
  <c r="K463" i="5"/>
  <c r="L463" i="5"/>
  <c r="J464" i="5"/>
  <c r="K464" i="5"/>
  <c r="L464" i="5"/>
  <c r="J465" i="5"/>
  <c r="K465" i="5"/>
  <c r="L465" i="5"/>
  <c r="J466" i="5"/>
  <c r="K466" i="5"/>
  <c r="L466" i="5"/>
  <c r="J467" i="5"/>
  <c r="K467" i="5"/>
  <c r="L467" i="5"/>
  <c r="J468" i="5"/>
  <c r="K468" i="5"/>
  <c r="L468" i="5"/>
  <c r="J469" i="5"/>
  <c r="K469" i="5"/>
  <c r="L469" i="5"/>
  <c r="J470" i="5"/>
  <c r="K470" i="5"/>
  <c r="L470" i="5"/>
  <c r="J471" i="5"/>
  <c r="K471" i="5"/>
  <c r="L471" i="5"/>
  <c r="J472" i="5"/>
  <c r="K472" i="5"/>
  <c r="L472" i="5"/>
  <c r="J473" i="5"/>
  <c r="K473" i="5"/>
  <c r="L473" i="5"/>
  <c r="J474" i="5"/>
  <c r="K474" i="5"/>
  <c r="L474" i="5"/>
  <c r="J475" i="5"/>
  <c r="K475" i="5"/>
  <c r="L475" i="5"/>
  <c r="J476" i="5"/>
  <c r="K476" i="5"/>
  <c r="L476" i="5"/>
  <c r="J477" i="5"/>
  <c r="K477" i="5"/>
  <c r="L477" i="5"/>
  <c r="J478" i="5"/>
  <c r="K478" i="5"/>
  <c r="L478" i="5"/>
  <c r="J479" i="5"/>
  <c r="K479" i="5"/>
  <c r="L479" i="5"/>
  <c r="J480" i="5"/>
  <c r="K480" i="5"/>
  <c r="L480" i="5"/>
  <c r="J481" i="5"/>
  <c r="K481" i="5"/>
  <c r="L481" i="5"/>
  <c r="J482" i="5"/>
  <c r="K482" i="5"/>
  <c r="L482" i="5"/>
  <c r="J483" i="5"/>
  <c r="K483" i="5"/>
  <c r="L483" i="5"/>
  <c r="J484" i="5"/>
  <c r="K484" i="5"/>
  <c r="L484" i="5"/>
  <c r="J485" i="5"/>
  <c r="K485" i="5"/>
  <c r="L485" i="5"/>
  <c r="J486" i="5"/>
  <c r="K486" i="5"/>
  <c r="L486" i="5"/>
  <c r="J487" i="5"/>
  <c r="K487" i="5"/>
  <c r="L487" i="5"/>
  <c r="J488" i="5"/>
  <c r="K488" i="5"/>
  <c r="L488" i="5"/>
  <c r="J489" i="5"/>
  <c r="K489" i="5"/>
  <c r="L489" i="5"/>
  <c r="J490" i="5"/>
  <c r="K490" i="5"/>
  <c r="L490" i="5"/>
  <c r="J491" i="5"/>
  <c r="K491" i="5"/>
  <c r="L491" i="5"/>
  <c r="J492" i="5"/>
  <c r="K492" i="5"/>
  <c r="L492" i="5"/>
  <c r="J493" i="5"/>
  <c r="K493" i="5"/>
  <c r="L493" i="5"/>
  <c r="J494" i="5"/>
  <c r="K494" i="5"/>
  <c r="L494" i="5"/>
  <c r="J495" i="5"/>
  <c r="K495" i="5"/>
  <c r="L495" i="5"/>
  <c r="J496" i="5"/>
  <c r="K496" i="5"/>
  <c r="L496" i="5"/>
  <c r="J497" i="5"/>
  <c r="K497" i="5"/>
  <c r="L497" i="5"/>
  <c r="J498" i="5"/>
  <c r="K498" i="5"/>
  <c r="L498" i="5"/>
  <c r="J499" i="5"/>
  <c r="K499" i="5"/>
  <c r="L499" i="5"/>
  <c r="J500" i="5"/>
  <c r="K500" i="5"/>
  <c r="L500" i="5"/>
  <c r="J501" i="5"/>
  <c r="K501" i="5"/>
  <c r="L501" i="5"/>
  <c r="J502" i="5"/>
  <c r="K502" i="5"/>
  <c r="L502" i="5"/>
  <c r="J503" i="5"/>
  <c r="K503" i="5"/>
  <c r="L503" i="5"/>
  <c r="J504" i="5"/>
  <c r="K504" i="5"/>
  <c r="L504" i="5"/>
  <c r="J505" i="5"/>
  <c r="K505" i="5"/>
  <c r="L505" i="5"/>
  <c r="J506" i="5"/>
  <c r="K506" i="5"/>
  <c r="L506" i="5"/>
  <c r="J507" i="5"/>
  <c r="K507" i="5"/>
  <c r="L507" i="5"/>
  <c r="J508" i="5"/>
  <c r="K508" i="5"/>
  <c r="L508" i="5"/>
  <c r="J509" i="5"/>
  <c r="K509" i="5"/>
  <c r="L509" i="5"/>
  <c r="J510" i="5"/>
  <c r="K510" i="5"/>
  <c r="L510" i="5"/>
  <c r="J511" i="5"/>
  <c r="K511" i="5"/>
  <c r="L511" i="5"/>
  <c r="J512" i="5"/>
  <c r="K512" i="5"/>
  <c r="L512" i="5"/>
  <c r="J513" i="5"/>
  <c r="K513" i="5"/>
  <c r="L513" i="5"/>
  <c r="J514" i="5"/>
  <c r="K514" i="5"/>
  <c r="L514" i="5"/>
  <c r="J515" i="5"/>
  <c r="K515" i="5"/>
  <c r="L515" i="5"/>
  <c r="J516" i="5"/>
  <c r="K516" i="5"/>
  <c r="L516" i="5"/>
  <c r="J517" i="5"/>
  <c r="K517" i="5"/>
  <c r="L517" i="5"/>
  <c r="J518" i="5"/>
  <c r="K518" i="5"/>
  <c r="L518" i="5"/>
  <c r="J519" i="5"/>
  <c r="K519" i="5"/>
  <c r="L519" i="5"/>
  <c r="J520" i="5"/>
  <c r="K520" i="5"/>
  <c r="L520" i="5"/>
  <c r="J521" i="5"/>
  <c r="K521" i="5"/>
  <c r="L521" i="5"/>
  <c r="J522" i="5"/>
  <c r="K522" i="5"/>
  <c r="L522" i="5"/>
  <c r="J523" i="5"/>
  <c r="K523" i="5"/>
  <c r="L523" i="5"/>
  <c r="J524" i="5"/>
  <c r="K524" i="5"/>
  <c r="L524" i="5"/>
  <c r="J525" i="5"/>
  <c r="K525" i="5"/>
  <c r="L525" i="5"/>
  <c r="J526" i="5"/>
  <c r="K526" i="5"/>
  <c r="L526" i="5"/>
  <c r="J527" i="5"/>
  <c r="K527" i="5"/>
  <c r="L527" i="5"/>
  <c r="J528" i="5"/>
  <c r="K528" i="5"/>
  <c r="L528" i="5"/>
  <c r="J529" i="5"/>
  <c r="K529" i="5"/>
  <c r="L529" i="5"/>
  <c r="J530" i="5"/>
  <c r="K530" i="5"/>
  <c r="L530" i="5"/>
  <c r="J531" i="5"/>
  <c r="K531" i="5"/>
  <c r="L531" i="5"/>
  <c r="J532" i="5"/>
  <c r="K532" i="5"/>
  <c r="L532" i="5"/>
  <c r="J533" i="5"/>
  <c r="K533" i="5"/>
  <c r="L533" i="5"/>
  <c r="J534" i="5"/>
  <c r="K534" i="5"/>
  <c r="L534" i="5"/>
  <c r="J535" i="5"/>
  <c r="K535" i="5"/>
  <c r="L535" i="5"/>
  <c r="J536" i="5"/>
  <c r="K536" i="5"/>
  <c r="L536" i="5"/>
  <c r="J537" i="5"/>
  <c r="K537" i="5"/>
  <c r="L537" i="5"/>
  <c r="J538" i="5"/>
  <c r="K538" i="5"/>
  <c r="L538" i="5"/>
  <c r="J539" i="5"/>
  <c r="K539" i="5"/>
  <c r="L539" i="5"/>
  <c r="J540" i="5"/>
  <c r="K540" i="5"/>
  <c r="L540" i="5"/>
  <c r="J541" i="5"/>
  <c r="K541" i="5"/>
  <c r="L541" i="5"/>
  <c r="J542" i="5"/>
  <c r="K542" i="5"/>
  <c r="L542" i="5"/>
  <c r="J543" i="5"/>
  <c r="K543" i="5"/>
  <c r="L543" i="5"/>
  <c r="J544" i="5"/>
  <c r="K544" i="5"/>
  <c r="L544" i="5"/>
  <c r="J545" i="5"/>
  <c r="K545" i="5"/>
  <c r="L545" i="5"/>
  <c r="J546" i="5"/>
  <c r="K546" i="5"/>
  <c r="L546" i="5"/>
  <c r="J547" i="5"/>
  <c r="K547" i="5"/>
  <c r="L547" i="5"/>
  <c r="J548" i="5"/>
  <c r="K548" i="5"/>
  <c r="L548" i="5"/>
  <c r="J549" i="5"/>
  <c r="K549" i="5"/>
  <c r="L549" i="5"/>
  <c r="J550" i="5"/>
  <c r="K550" i="5"/>
  <c r="L550" i="5"/>
  <c r="J551" i="5"/>
  <c r="K551" i="5"/>
  <c r="L551" i="5"/>
  <c r="J552" i="5"/>
  <c r="K552" i="5"/>
  <c r="L552" i="5"/>
  <c r="J553" i="5"/>
  <c r="K553" i="5"/>
  <c r="L553" i="5"/>
  <c r="J554" i="5"/>
  <c r="K554" i="5"/>
  <c r="L554" i="5"/>
  <c r="J555" i="5"/>
  <c r="K555" i="5"/>
  <c r="L555" i="5"/>
  <c r="J556" i="5"/>
  <c r="K556" i="5"/>
  <c r="L556" i="5"/>
  <c r="J557" i="5"/>
  <c r="K557" i="5"/>
  <c r="L557" i="5"/>
  <c r="J558" i="5"/>
  <c r="K558" i="5"/>
  <c r="L558" i="5"/>
  <c r="J559" i="5"/>
  <c r="K559" i="5"/>
  <c r="L559" i="5"/>
  <c r="J560" i="5"/>
  <c r="K560" i="5"/>
  <c r="L560" i="5"/>
  <c r="J561" i="5"/>
  <c r="K561" i="5"/>
  <c r="L561" i="5"/>
  <c r="J562" i="5"/>
  <c r="K562" i="5"/>
  <c r="L562" i="5"/>
  <c r="J563" i="5"/>
  <c r="K563" i="5"/>
  <c r="L563" i="5"/>
  <c r="J564" i="5"/>
  <c r="K564" i="5"/>
  <c r="L564" i="5"/>
  <c r="J565" i="5"/>
  <c r="K565" i="5"/>
  <c r="L565" i="5"/>
  <c r="J566" i="5"/>
  <c r="K566" i="5"/>
  <c r="L566" i="5"/>
  <c r="J567" i="5"/>
  <c r="K567" i="5"/>
  <c r="L567" i="5"/>
  <c r="J568" i="5"/>
  <c r="K568" i="5"/>
  <c r="L568" i="5"/>
  <c r="J569" i="5"/>
  <c r="K569" i="5"/>
  <c r="L569" i="5"/>
  <c r="J570" i="5"/>
  <c r="K570" i="5"/>
  <c r="L570" i="5"/>
  <c r="J571" i="5"/>
  <c r="K571" i="5"/>
  <c r="L571" i="5"/>
  <c r="J572" i="5"/>
  <c r="K572" i="5"/>
  <c r="L572" i="5"/>
  <c r="J573" i="5"/>
  <c r="K573" i="5"/>
  <c r="L573" i="5"/>
  <c r="J574" i="5"/>
  <c r="K574" i="5"/>
  <c r="L574" i="5"/>
  <c r="J575" i="5"/>
  <c r="K575" i="5"/>
  <c r="L575" i="5"/>
  <c r="J576" i="5"/>
  <c r="K576" i="5"/>
  <c r="L576" i="5"/>
  <c r="J577" i="5"/>
  <c r="K577" i="5"/>
  <c r="L577" i="5"/>
  <c r="J578" i="5"/>
  <c r="K578" i="5"/>
  <c r="L578" i="5"/>
  <c r="J579" i="5"/>
  <c r="K579" i="5"/>
  <c r="L579" i="5"/>
  <c r="J580" i="5"/>
  <c r="K580" i="5"/>
  <c r="L580" i="5"/>
  <c r="J581" i="5"/>
  <c r="K581" i="5"/>
  <c r="L581" i="5"/>
  <c r="J582" i="5"/>
  <c r="K582" i="5"/>
  <c r="L582" i="5"/>
  <c r="J583" i="5"/>
  <c r="K583" i="5"/>
  <c r="L583" i="5"/>
  <c r="J584" i="5"/>
  <c r="K584" i="5"/>
  <c r="L584" i="5"/>
  <c r="J585" i="5"/>
  <c r="K585" i="5"/>
  <c r="L585" i="5"/>
  <c r="J586" i="5"/>
  <c r="K586" i="5"/>
  <c r="L586" i="5"/>
  <c r="J587" i="5"/>
  <c r="K587" i="5"/>
  <c r="L587" i="5"/>
  <c r="J588" i="5"/>
  <c r="K588" i="5"/>
  <c r="L588" i="5"/>
  <c r="J589" i="5"/>
  <c r="K589" i="5"/>
  <c r="L589" i="5"/>
  <c r="J590" i="5"/>
  <c r="K590" i="5"/>
  <c r="L590" i="5"/>
  <c r="J591" i="5"/>
  <c r="K591" i="5"/>
  <c r="L591" i="5"/>
  <c r="J592" i="5"/>
  <c r="K592" i="5"/>
  <c r="L592" i="5"/>
  <c r="J593" i="5"/>
  <c r="K593" i="5"/>
  <c r="L593" i="5"/>
  <c r="J594" i="5"/>
  <c r="K594" i="5"/>
  <c r="L594" i="5"/>
  <c r="J595" i="5"/>
  <c r="K595" i="5"/>
  <c r="L595" i="5"/>
  <c r="J596" i="5"/>
  <c r="K596" i="5"/>
  <c r="L596" i="5"/>
  <c r="J597" i="5"/>
  <c r="K597" i="5"/>
  <c r="L597" i="5"/>
  <c r="J598" i="5"/>
  <c r="K598" i="5"/>
  <c r="L598" i="5"/>
  <c r="J599" i="5"/>
  <c r="K599" i="5"/>
  <c r="L599" i="5"/>
  <c r="J600" i="5"/>
  <c r="K600" i="5"/>
  <c r="L600" i="5"/>
  <c r="J601" i="5"/>
  <c r="K601" i="5"/>
  <c r="L601" i="5"/>
  <c r="J602" i="5"/>
  <c r="K602" i="5"/>
  <c r="L602" i="5"/>
  <c r="J603" i="5"/>
  <c r="K603" i="5"/>
  <c r="L603" i="5"/>
  <c r="J604" i="5"/>
  <c r="K604" i="5"/>
  <c r="L604" i="5"/>
  <c r="J605" i="5"/>
  <c r="K605" i="5"/>
  <c r="L605" i="5"/>
  <c r="J606" i="5"/>
  <c r="K606" i="5"/>
  <c r="L606" i="5"/>
  <c r="J607" i="5"/>
  <c r="K607" i="5"/>
  <c r="L607" i="5"/>
  <c r="J608" i="5"/>
  <c r="K608" i="5"/>
  <c r="L608" i="5"/>
  <c r="J609" i="5"/>
  <c r="K609" i="5"/>
  <c r="L609" i="5"/>
  <c r="J610" i="5"/>
  <c r="K610" i="5"/>
  <c r="L610" i="5"/>
  <c r="J611" i="5"/>
  <c r="K611" i="5"/>
  <c r="L611" i="5"/>
  <c r="J612" i="5"/>
  <c r="K612" i="5"/>
  <c r="L612" i="5"/>
  <c r="J613" i="5"/>
  <c r="K613" i="5"/>
  <c r="L613" i="5"/>
  <c r="J614" i="5"/>
  <c r="K614" i="5"/>
  <c r="L614" i="5"/>
  <c r="J615" i="5"/>
  <c r="K615" i="5"/>
  <c r="L615" i="5"/>
  <c r="J616" i="5"/>
  <c r="K616" i="5"/>
  <c r="L616" i="5"/>
  <c r="J617" i="5"/>
  <c r="K617" i="5"/>
  <c r="L617" i="5"/>
  <c r="J618" i="5"/>
  <c r="K618" i="5"/>
  <c r="L618" i="5"/>
  <c r="J619" i="5"/>
  <c r="K619" i="5"/>
  <c r="L619" i="5"/>
  <c r="J620" i="5"/>
  <c r="K620" i="5"/>
  <c r="L620" i="5"/>
  <c r="J621" i="5"/>
  <c r="K621" i="5"/>
  <c r="L621" i="5"/>
  <c r="J622" i="5"/>
  <c r="K622" i="5"/>
  <c r="L622" i="5"/>
  <c r="J623" i="5"/>
  <c r="K623" i="5"/>
  <c r="L623" i="5"/>
  <c r="J624" i="5"/>
  <c r="K624" i="5"/>
  <c r="L624" i="5"/>
  <c r="J625" i="5"/>
  <c r="K625" i="5"/>
  <c r="L625" i="5"/>
  <c r="J626" i="5"/>
  <c r="K626" i="5"/>
  <c r="L626" i="5"/>
  <c r="J627" i="5"/>
  <c r="K627" i="5"/>
  <c r="L627" i="5"/>
  <c r="J628" i="5"/>
  <c r="K628" i="5"/>
  <c r="L628" i="5"/>
  <c r="J629" i="5"/>
  <c r="K629" i="5"/>
  <c r="L629" i="5"/>
  <c r="J630" i="5"/>
  <c r="K630" i="5"/>
  <c r="L630" i="5"/>
  <c r="J631" i="5"/>
  <c r="K631" i="5"/>
  <c r="L631" i="5"/>
  <c r="J632" i="5"/>
  <c r="K632" i="5"/>
  <c r="L632" i="5"/>
  <c r="J633" i="5"/>
  <c r="K633" i="5"/>
  <c r="L633" i="5"/>
  <c r="J634" i="5"/>
  <c r="K634" i="5"/>
  <c r="L634" i="5"/>
  <c r="J635" i="5"/>
  <c r="K635" i="5"/>
  <c r="L635" i="5"/>
  <c r="J636" i="5"/>
  <c r="K636" i="5"/>
  <c r="L636" i="5"/>
  <c r="J637" i="5"/>
  <c r="K637" i="5"/>
  <c r="L637" i="5"/>
  <c r="J638" i="5"/>
  <c r="K638" i="5"/>
  <c r="L638" i="5"/>
  <c r="J639" i="5"/>
  <c r="K639" i="5"/>
  <c r="L639" i="5"/>
  <c r="J640" i="5"/>
  <c r="K640" i="5"/>
  <c r="L640" i="5"/>
  <c r="J641" i="5"/>
  <c r="K641" i="5"/>
  <c r="L641" i="5"/>
  <c r="J642" i="5"/>
  <c r="K642" i="5"/>
  <c r="L642" i="5"/>
  <c r="J643" i="5"/>
  <c r="K643" i="5"/>
  <c r="L643" i="5"/>
  <c r="J644" i="5"/>
  <c r="K644" i="5"/>
  <c r="L644" i="5"/>
  <c r="J645" i="5"/>
  <c r="K645" i="5"/>
  <c r="L645" i="5"/>
  <c r="J646" i="5"/>
  <c r="K646" i="5"/>
  <c r="L646" i="5"/>
  <c r="J647" i="5"/>
  <c r="K647" i="5"/>
  <c r="L647" i="5"/>
  <c r="J648" i="5"/>
  <c r="K648" i="5"/>
  <c r="L648" i="5"/>
  <c r="J649" i="5"/>
  <c r="K649" i="5"/>
  <c r="L649" i="5"/>
  <c r="J650" i="5"/>
  <c r="K650" i="5"/>
  <c r="L650" i="5"/>
  <c r="J651" i="5"/>
  <c r="K651" i="5"/>
  <c r="L651" i="5"/>
  <c r="J652" i="5"/>
  <c r="K652" i="5"/>
  <c r="L652" i="5"/>
  <c r="J653" i="5"/>
  <c r="K653" i="5"/>
  <c r="L653" i="5"/>
  <c r="J654" i="5"/>
  <c r="K654" i="5"/>
  <c r="L654" i="5"/>
  <c r="J655" i="5"/>
  <c r="K655" i="5"/>
  <c r="L655" i="5"/>
  <c r="J656" i="5"/>
  <c r="K656" i="5"/>
  <c r="L656" i="5"/>
  <c r="J657" i="5"/>
  <c r="K657" i="5"/>
  <c r="L657" i="5"/>
  <c r="J658" i="5"/>
  <c r="K658" i="5"/>
  <c r="L658" i="5"/>
  <c r="J659" i="5"/>
  <c r="K659" i="5"/>
  <c r="L659" i="5"/>
  <c r="J660" i="5"/>
  <c r="K660" i="5"/>
  <c r="L660" i="5"/>
  <c r="J661" i="5"/>
  <c r="K661" i="5"/>
  <c r="L661" i="5"/>
  <c r="J662" i="5"/>
  <c r="K662" i="5"/>
  <c r="L662" i="5"/>
  <c r="J663" i="5"/>
  <c r="K663" i="5"/>
  <c r="L663" i="5"/>
  <c r="J664" i="5"/>
  <c r="K664" i="5"/>
  <c r="L664" i="5"/>
  <c r="J665" i="5"/>
  <c r="K665" i="5"/>
  <c r="L665" i="5"/>
  <c r="J666" i="5"/>
  <c r="K666" i="5"/>
  <c r="L666" i="5"/>
  <c r="J667" i="5"/>
  <c r="K667" i="5"/>
  <c r="L667" i="5"/>
  <c r="J668" i="5"/>
  <c r="K668" i="5"/>
  <c r="L668" i="5"/>
  <c r="J669" i="5"/>
  <c r="K669" i="5"/>
  <c r="L669" i="5"/>
  <c r="J670" i="5"/>
  <c r="K670" i="5"/>
  <c r="L670" i="5"/>
  <c r="J671" i="5"/>
  <c r="K671" i="5"/>
  <c r="L671" i="5"/>
  <c r="J672" i="5"/>
  <c r="K672" i="5"/>
  <c r="L672" i="5"/>
  <c r="J673" i="5"/>
  <c r="K673" i="5"/>
  <c r="L673" i="5"/>
  <c r="J674" i="5"/>
  <c r="K674" i="5"/>
  <c r="L674" i="5"/>
  <c r="J675" i="5"/>
  <c r="K675" i="5"/>
  <c r="L675" i="5"/>
  <c r="J676" i="5"/>
  <c r="K676" i="5"/>
  <c r="L676" i="5"/>
  <c r="J677" i="5"/>
  <c r="K677" i="5"/>
  <c r="L677" i="5"/>
  <c r="J678" i="5"/>
  <c r="K678" i="5"/>
  <c r="L678" i="5"/>
  <c r="J679" i="5"/>
  <c r="K679" i="5"/>
  <c r="L679" i="5"/>
  <c r="J680" i="5"/>
  <c r="K680" i="5"/>
  <c r="L680" i="5"/>
  <c r="J681" i="5"/>
  <c r="K681" i="5"/>
  <c r="L681" i="5"/>
  <c r="J682" i="5"/>
  <c r="K682" i="5"/>
  <c r="L682" i="5"/>
  <c r="J683" i="5"/>
  <c r="K683" i="5"/>
  <c r="L683" i="5"/>
  <c r="J684" i="5"/>
  <c r="K684" i="5"/>
  <c r="L684" i="5"/>
  <c r="J685" i="5"/>
  <c r="K685" i="5"/>
  <c r="L685" i="5"/>
  <c r="J686" i="5"/>
  <c r="K686" i="5"/>
  <c r="L686" i="5"/>
  <c r="J687" i="5"/>
  <c r="K687" i="5"/>
  <c r="L687" i="5"/>
  <c r="J688" i="5"/>
  <c r="K688" i="5"/>
  <c r="L688" i="5"/>
  <c r="J689" i="5"/>
  <c r="K689" i="5"/>
  <c r="L689" i="5"/>
  <c r="J690" i="5"/>
  <c r="K690" i="5"/>
  <c r="L690" i="5"/>
  <c r="J691" i="5"/>
  <c r="K691" i="5"/>
  <c r="L691" i="5"/>
  <c r="J692" i="5"/>
  <c r="K692" i="5"/>
  <c r="L692" i="5"/>
  <c r="J693" i="5"/>
  <c r="K693" i="5"/>
  <c r="L693" i="5"/>
  <c r="J694" i="5"/>
  <c r="K694" i="5"/>
  <c r="L694" i="5"/>
  <c r="J695" i="5"/>
  <c r="K695" i="5"/>
  <c r="L695" i="5"/>
  <c r="J696" i="5"/>
  <c r="K696" i="5"/>
  <c r="L696" i="5"/>
  <c r="J697" i="5"/>
  <c r="K697" i="5"/>
  <c r="L697" i="5"/>
  <c r="J698" i="5"/>
  <c r="K698" i="5"/>
  <c r="L698" i="5"/>
  <c r="J699" i="5"/>
  <c r="K699" i="5"/>
  <c r="L699" i="5"/>
  <c r="J700" i="5"/>
  <c r="K700" i="5"/>
  <c r="L700" i="5"/>
  <c r="J701" i="5"/>
  <c r="K701" i="5"/>
  <c r="L701" i="5"/>
  <c r="J702" i="5"/>
  <c r="K702" i="5"/>
  <c r="L702" i="5"/>
  <c r="J703" i="5"/>
  <c r="K703" i="5"/>
  <c r="L703" i="5"/>
  <c r="J704" i="5"/>
  <c r="K704" i="5"/>
  <c r="L704" i="5"/>
  <c r="J705" i="5"/>
  <c r="K705" i="5"/>
  <c r="L705" i="5"/>
  <c r="J706" i="5"/>
  <c r="K706" i="5"/>
  <c r="L706" i="5"/>
  <c r="J707" i="5"/>
  <c r="K707" i="5"/>
  <c r="L707" i="5"/>
  <c r="J708" i="5"/>
  <c r="K708" i="5"/>
  <c r="L708" i="5"/>
  <c r="J709" i="5"/>
  <c r="K709" i="5"/>
  <c r="L709" i="5"/>
  <c r="J710" i="5"/>
  <c r="K710" i="5"/>
  <c r="L710" i="5"/>
  <c r="J711" i="5"/>
  <c r="K711" i="5"/>
  <c r="L711" i="5"/>
  <c r="J712" i="5"/>
  <c r="K712" i="5"/>
  <c r="L712" i="5"/>
  <c r="J713" i="5"/>
  <c r="K713" i="5"/>
  <c r="L713" i="5"/>
  <c r="J714" i="5"/>
  <c r="K714" i="5"/>
  <c r="L714" i="5"/>
  <c r="J715" i="5"/>
  <c r="K715" i="5"/>
  <c r="L715" i="5"/>
  <c r="J716" i="5"/>
  <c r="K716" i="5"/>
  <c r="L716" i="5"/>
  <c r="J717" i="5"/>
  <c r="K717" i="5"/>
  <c r="L717" i="5"/>
  <c r="J718" i="5"/>
  <c r="K718" i="5"/>
  <c r="L718" i="5"/>
  <c r="J719" i="5"/>
  <c r="K719" i="5"/>
  <c r="L719" i="5"/>
  <c r="J720" i="5"/>
  <c r="K720" i="5"/>
  <c r="L720" i="5"/>
  <c r="J721" i="5"/>
  <c r="K721" i="5"/>
  <c r="L721" i="5"/>
  <c r="J722" i="5"/>
  <c r="K722" i="5"/>
  <c r="L722" i="5"/>
  <c r="J723" i="5"/>
  <c r="K723" i="5"/>
  <c r="L723" i="5"/>
  <c r="J724" i="5"/>
  <c r="K724" i="5"/>
  <c r="L724" i="5"/>
  <c r="J725" i="5"/>
  <c r="K725" i="5"/>
  <c r="L725" i="5"/>
  <c r="J726" i="5"/>
  <c r="K726" i="5"/>
  <c r="L726" i="5"/>
  <c r="J727" i="5"/>
  <c r="K727" i="5"/>
  <c r="L727" i="5"/>
  <c r="J728" i="5"/>
  <c r="K728" i="5"/>
  <c r="L728" i="5"/>
  <c r="J729" i="5"/>
  <c r="K729" i="5"/>
  <c r="L729" i="5"/>
  <c r="J730" i="5"/>
  <c r="K730" i="5"/>
  <c r="L730" i="5"/>
  <c r="J731" i="5"/>
  <c r="K731" i="5"/>
  <c r="L731" i="5"/>
  <c r="J732" i="5"/>
  <c r="K732" i="5"/>
  <c r="L732" i="5"/>
  <c r="J733" i="5"/>
  <c r="K733" i="5"/>
  <c r="L733" i="5"/>
  <c r="J734" i="5"/>
  <c r="K734" i="5"/>
  <c r="L734" i="5"/>
  <c r="J735" i="5"/>
  <c r="K735" i="5"/>
  <c r="L735" i="5"/>
  <c r="J736" i="5"/>
  <c r="K736" i="5"/>
  <c r="L736" i="5"/>
  <c r="J737" i="5"/>
  <c r="K737" i="5"/>
  <c r="L737" i="5"/>
  <c r="J738" i="5"/>
  <c r="K738" i="5"/>
  <c r="L738" i="5"/>
  <c r="J739" i="5"/>
  <c r="K739" i="5"/>
  <c r="L739" i="5"/>
  <c r="J740" i="5"/>
  <c r="K740" i="5"/>
  <c r="L740" i="5"/>
  <c r="J741" i="5"/>
  <c r="K741" i="5"/>
  <c r="L741" i="5"/>
  <c r="J742" i="5"/>
  <c r="K742" i="5"/>
  <c r="L742" i="5"/>
  <c r="J743" i="5"/>
  <c r="K743" i="5"/>
  <c r="L743" i="5"/>
  <c r="J744" i="5"/>
  <c r="K744" i="5"/>
  <c r="L744" i="5"/>
  <c r="J745" i="5"/>
  <c r="K745" i="5"/>
  <c r="L745" i="5"/>
  <c r="J746" i="5"/>
  <c r="K746" i="5"/>
  <c r="L746" i="5"/>
  <c r="J747" i="5"/>
  <c r="K747" i="5"/>
  <c r="L747" i="5"/>
  <c r="J748" i="5"/>
  <c r="K748" i="5"/>
  <c r="L748" i="5"/>
  <c r="J749" i="5"/>
  <c r="K749" i="5"/>
  <c r="L749" i="5"/>
  <c r="J750" i="5"/>
  <c r="K750" i="5"/>
  <c r="L750" i="5"/>
  <c r="J751" i="5"/>
  <c r="K751" i="5"/>
  <c r="L751" i="5"/>
  <c r="J752" i="5"/>
  <c r="K752" i="5"/>
  <c r="L752" i="5"/>
  <c r="J753" i="5"/>
  <c r="K753" i="5"/>
  <c r="L753" i="5"/>
  <c r="J754" i="5"/>
  <c r="K754" i="5"/>
  <c r="L754" i="5"/>
  <c r="J755" i="5"/>
  <c r="K755" i="5"/>
  <c r="L755" i="5"/>
  <c r="J756" i="5"/>
  <c r="K756" i="5"/>
  <c r="L756" i="5"/>
  <c r="J757" i="5"/>
  <c r="K757" i="5"/>
  <c r="L757" i="5"/>
  <c r="J758" i="5"/>
  <c r="K758" i="5"/>
  <c r="L758" i="5"/>
  <c r="J759" i="5"/>
  <c r="K759" i="5"/>
  <c r="L759" i="5"/>
  <c r="J760" i="5"/>
  <c r="K760" i="5"/>
  <c r="L760" i="5"/>
  <c r="J761" i="5"/>
  <c r="K761" i="5"/>
  <c r="L761" i="5"/>
  <c r="J762" i="5"/>
  <c r="K762" i="5"/>
  <c r="L762" i="5"/>
  <c r="J763" i="5"/>
  <c r="K763" i="5"/>
  <c r="L763" i="5"/>
  <c r="J764" i="5"/>
  <c r="K764" i="5"/>
  <c r="L764" i="5"/>
  <c r="J765" i="5"/>
  <c r="K765" i="5"/>
  <c r="L765" i="5"/>
  <c r="J766" i="5"/>
  <c r="K766" i="5"/>
  <c r="L766" i="5"/>
  <c r="J767" i="5"/>
  <c r="K767" i="5"/>
  <c r="L767" i="5"/>
  <c r="J768" i="5"/>
  <c r="K768" i="5"/>
  <c r="L768" i="5"/>
  <c r="J769" i="5"/>
  <c r="K769" i="5"/>
  <c r="L769" i="5"/>
  <c r="J770" i="5"/>
  <c r="K770" i="5"/>
  <c r="L770" i="5"/>
  <c r="J771" i="5"/>
  <c r="K771" i="5"/>
  <c r="L771" i="5"/>
  <c r="J772" i="5"/>
  <c r="K772" i="5"/>
  <c r="L772" i="5"/>
  <c r="J773" i="5"/>
  <c r="K773" i="5"/>
  <c r="L773" i="5"/>
  <c r="J774" i="5"/>
  <c r="K774" i="5"/>
  <c r="L774" i="5"/>
  <c r="J775" i="5"/>
  <c r="K775" i="5"/>
  <c r="L775" i="5"/>
  <c r="J776" i="5"/>
  <c r="K776" i="5"/>
  <c r="L776" i="5"/>
  <c r="J777" i="5"/>
  <c r="K777" i="5"/>
  <c r="L777" i="5"/>
  <c r="J778" i="5"/>
  <c r="K778" i="5"/>
  <c r="L778" i="5"/>
  <c r="J779" i="5"/>
  <c r="K779" i="5"/>
  <c r="L779" i="5"/>
  <c r="J780" i="5"/>
  <c r="K780" i="5"/>
  <c r="L780" i="5"/>
  <c r="J781" i="5"/>
  <c r="K781" i="5"/>
  <c r="L781" i="5"/>
  <c r="J782" i="5"/>
  <c r="K782" i="5"/>
  <c r="L782" i="5"/>
  <c r="J783" i="5"/>
  <c r="K783" i="5"/>
  <c r="L783" i="5"/>
  <c r="J784" i="5"/>
  <c r="K784" i="5"/>
  <c r="L784" i="5"/>
  <c r="J785" i="5"/>
  <c r="K785" i="5"/>
  <c r="L785" i="5"/>
  <c r="J786" i="5"/>
  <c r="K786" i="5"/>
  <c r="L786" i="5"/>
  <c r="J787" i="5"/>
  <c r="K787" i="5"/>
  <c r="L787" i="5"/>
  <c r="J788" i="5"/>
  <c r="K788" i="5"/>
  <c r="L788" i="5"/>
  <c r="J789" i="5"/>
  <c r="K789" i="5"/>
  <c r="L789" i="5"/>
  <c r="J790" i="5"/>
  <c r="K790" i="5"/>
  <c r="L790" i="5"/>
  <c r="J791" i="5"/>
  <c r="K791" i="5"/>
  <c r="L791" i="5"/>
  <c r="J792" i="5"/>
  <c r="K792" i="5"/>
  <c r="L792" i="5"/>
  <c r="J793" i="5"/>
  <c r="K793" i="5"/>
  <c r="L793" i="5"/>
  <c r="J794" i="5"/>
  <c r="K794" i="5"/>
  <c r="L794" i="5"/>
  <c r="J795" i="5"/>
  <c r="K795" i="5"/>
  <c r="L795" i="5"/>
  <c r="J796" i="5"/>
  <c r="K796" i="5"/>
  <c r="L796" i="5"/>
  <c r="J797" i="5"/>
  <c r="K797" i="5"/>
  <c r="L797" i="5"/>
  <c r="J798" i="5"/>
  <c r="K798" i="5"/>
  <c r="L798" i="5"/>
  <c r="J799" i="5"/>
  <c r="K799" i="5"/>
  <c r="L799" i="5"/>
  <c r="J800" i="5"/>
  <c r="K800" i="5"/>
  <c r="L800" i="5"/>
  <c r="J801" i="5"/>
  <c r="K801" i="5"/>
  <c r="L801" i="5"/>
  <c r="J802" i="5"/>
  <c r="K802" i="5"/>
  <c r="L802" i="5"/>
  <c r="J803" i="5"/>
  <c r="K803" i="5"/>
  <c r="L803" i="5"/>
  <c r="J804" i="5"/>
  <c r="K804" i="5"/>
  <c r="L804" i="5"/>
  <c r="J805" i="5"/>
  <c r="K805" i="5"/>
  <c r="L805" i="5"/>
  <c r="J806" i="5"/>
  <c r="K806" i="5"/>
  <c r="L806" i="5"/>
  <c r="J807" i="5"/>
  <c r="K807" i="5"/>
  <c r="L807" i="5"/>
  <c r="J808" i="5"/>
  <c r="K808" i="5"/>
  <c r="L808" i="5"/>
  <c r="J809" i="5"/>
  <c r="K809" i="5"/>
  <c r="L809" i="5"/>
  <c r="J810" i="5"/>
  <c r="K810" i="5"/>
  <c r="L810" i="5"/>
  <c r="J811" i="5"/>
  <c r="K811" i="5"/>
  <c r="L811" i="5"/>
  <c r="J812" i="5"/>
  <c r="K812" i="5"/>
  <c r="L812" i="5"/>
  <c r="J813" i="5"/>
  <c r="K813" i="5"/>
  <c r="L813" i="5"/>
  <c r="J814" i="5"/>
  <c r="K814" i="5"/>
  <c r="L814" i="5"/>
  <c r="J815" i="5"/>
  <c r="K815" i="5"/>
  <c r="L815" i="5"/>
  <c r="J816" i="5"/>
  <c r="K816" i="5"/>
  <c r="L816" i="5"/>
  <c r="J817" i="5"/>
  <c r="K817" i="5"/>
  <c r="L817" i="5"/>
  <c r="J818" i="5"/>
  <c r="K818" i="5"/>
  <c r="L818" i="5"/>
  <c r="J819" i="5"/>
  <c r="K819" i="5"/>
  <c r="L819" i="5"/>
  <c r="J820" i="5"/>
  <c r="K820" i="5"/>
  <c r="L820" i="5"/>
  <c r="J821" i="5"/>
  <c r="K821" i="5"/>
  <c r="L821" i="5"/>
  <c r="J822" i="5"/>
  <c r="K822" i="5"/>
  <c r="L822" i="5"/>
  <c r="J823" i="5"/>
  <c r="K823" i="5"/>
  <c r="L823" i="5"/>
  <c r="J824" i="5"/>
  <c r="K824" i="5"/>
  <c r="L824" i="5"/>
  <c r="J825" i="5"/>
  <c r="K825" i="5"/>
  <c r="L825" i="5"/>
  <c r="J826" i="5"/>
  <c r="K826" i="5"/>
  <c r="L826" i="5"/>
  <c r="J827" i="5"/>
  <c r="K827" i="5"/>
  <c r="L827" i="5"/>
  <c r="J828" i="5"/>
  <c r="K828" i="5"/>
  <c r="L828" i="5"/>
  <c r="J829" i="5"/>
  <c r="K829" i="5"/>
  <c r="L829" i="5"/>
  <c r="J830" i="5"/>
  <c r="K830" i="5"/>
  <c r="L830" i="5"/>
  <c r="J831" i="5"/>
  <c r="K831" i="5"/>
  <c r="L831" i="5"/>
  <c r="J832" i="5"/>
  <c r="K832" i="5"/>
  <c r="L832" i="5"/>
  <c r="J833" i="5"/>
  <c r="K833" i="5"/>
  <c r="L833" i="5"/>
  <c r="J834" i="5"/>
  <c r="K834" i="5"/>
  <c r="L834" i="5"/>
  <c r="J835" i="5"/>
  <c r="K835" i="5"/>
  <c r="L835" i="5"/>
  <c r="J836" i="5"/>
  <c r="K836" i="5"/>
  <c r="L836" i="5"/>
  <c r="J837" i="5"/>
  <c r="K837" i="5"/>
  <c r="L837" i="5"/>
  <c r="J838" i="5"/>
  <c r="K838" i="5"/>
  <c r="L838" i="5"/>
  <c r="J839" i="5"/>
  <c r="K839" i="5"/>
  <c r="L839" i="5"/>
  <c r="J840" i="5"/>
  <c r="K840" i="5"/>
  <c r="L840" i="5"/>
  <c r="J841" i="5"/>
  <c r="K841" i="5"/>
  <c r="L841" i="5"/>
  <c r="J842" i="5"/>
  <c r="K842" i="5"/>
  <c r="L842" i="5"/>
  <c r="J843" i="5"/>
  <c r="K843" i="5"/>
  <c r="L843" i="5"/>
  <c r="J844" i="5"/>
  <c r="K844" i="5"/>
  <c r="L844" i="5"/>
  <c r="J845" i="5"/>
  <c r="K845" i="5"/>
  <c r="L845" i="5"/>
  <c r="J846" i="5"/>
  <c r="K846" i="5"/>
  <c r="L846" i="5"/>
  <c r="J847" i="5"/>
  <c r="K847" i="5"/>
  <c r="L847" i="5"/>
  <c r="J848" i="5"/>
  <c r="K848" i="5"/>
  <c r="L848" i="5"/>
  <c r="J849" i="5"/>
  <c r="K849" i="5"/>
  <c r="L849" i="5"/>
  <c r="J850" i="5"/>
  <c r="K850" i="5"/>
  <c r="L850" i="5"/>
  <c r="J851" i="5"/>
  <c r="K851" i="5"/>
  <c r="L851" i="5"/>
  <c r="J852" i="5"/>
  <c r="K852" i="5"/>
  <c r="L852" i="5"/>
  <c r="J853" i="5"/>
  <c r="K853" i="5"/>
  <c r="L853" i="5"/>
  <c r="J854" i="5"/>
  <c r="K854" i="5"/>
  <c r="L854" i="5"/>
  <c r="J855" i="5"/>
  <c r="K855" i="5"/>
  <c r="L855" i="5"/>
  <c r="J856" i="5"/>
  <c r="K856" i="5"/>
  <c r="L856" i="5"/>
  <c r="J857" i="5"/>
  <c r="K857" i="5"/>
  <c r="L857" i="5"/>
  <c r="J858" i="5"/>
  <c r="K858" i="5"/>
  <c r="L858" i="5"/>
  <c r="J859" i="5"/>
  <c r="K859" i="5"/>
  <c r="L859" i="5"/>
  <c r="J860" i="5"/>
  <c r="K860" i="5"/>
  <c r="L860" i="5"/>
  <c r="J861" i="5"/>
  <c r="K861" i="5"/>
  <c r="L861" i="5"/>
  <c r="J862" i="5"/>
  <c r="K862" i="5"/>
  <c r="L862" i="5"/>
  <c r="J863" i="5"/>
  <c r="K863" i="5"/>
  <c r="L863" i="5"/>
  <c r="J864" i="5"/>
  <c r="K864" i="5"/>
  <c r="L864" i="5"/>
  <c r="J865" i="5"/>
  <c r="K865" i="5"/>
  <c r="L865" i="5"/>
  <c r="J866" i="5"/>
  <c r="K866" i="5"/>
  <c r="L866" i="5"/>
  <c r="J867" i="5"/>
  <c r="K867" i="5"/>
  <c r="L867" i="5"/>
  <c r="J868" i="5"/>
  <c r="K868" i="5"/>
  <c r="L868" i="5"/>
  <c r="J869" i="5"/>
  <c r="K869" i="5"/>
  <c r="L869" i="5"/>
  <c r="J870" i="5"/>
  <c r="K870" i="5"/>
  <c r="L870" i="5"/>
  <c r="J871" i="5"/>
  <c r="K871" i="5"/>
  <c r="L871" i="5"/>
  <c r="J872" i="5"/>
  <c r="K872" i="5"/>
  <c r="L872" i="5"/>
  <c r="J873" i="5"/>
  <c r="K873" i="5"/>
  <c r="L873" i="5"/>
  <c r="J874" i="5"/>
  <c r="K874" i="5"/>
  <c r="L874" i="5"/>
  <c r="J875" i="5"/>
  <c r="K875" i="5"/>
  <c r="L875" i="5"/>
  <c r="J876" i="5"/>
  <c r="K876" i="5"/>
  <c r="L876" i="5"/>
  <c r="J877" i="5"/>
  <c r="K877" i="5"/>
  <c r="L877" i="5"/>
  <c r="J878" i="5"/>
  <c r="K878" i="5"/>
  <c r="L878" i="5"/>
  <c r="J879" i="5"/>
  <c r="K879" i="5"/>
  <c r="L879" i="5"/>
  <c r="J880" i="5"/>
  <c r="K880" i="5"/>
  <c r="L880" i="5"/>
  <c r="J881" i="5"/>
  <c r="K881" i="5"/>
  <c r="L881" i="5"/>
  <c r="J882" i="5"/>
  <c r="K882" i="5"/>
  <c r="L882" i="5"/>
  <c r="J883" i="5"/>
  <c r="K883" i="5"/>
  <c r="L883" i="5"/>
  <c r="J884" i="5"/>
  <c r="K884" i="5"/>
  <c r="L884" i="5"/>
  <c r="J885" i="5"/>
  <c r="K885" i="5"/>
  <c r="L885" i="5"/>
  <c r="J886" i="5"/>
  <c r="K886" i="5"/>
  <c r="L886" i="5"/>
  <c r="J887" i="5"/>
  <c r="K887" i="5"/>
  <c r="L887" i="5"/>
  <c r="J888" i="5"/>
  <c r="K888" i="5"/>
  <c r="L888" i="5"/>
  <c r="J889" i="5"/>
  <c r="K889" i="5"/>
  <c r="L889" i="5"/>
  <c r="J890" i="5"/>
  <c r="K890" i="5"/>
  <c r="L890" i="5"/>
  <c r="J891" i="5"/>
  <c r="K891" i="5"/>
  <c r="L891" i="5"/>
  <c r="J892" i="5"/>
  <c r="K892" i="5"/>
  <c r="L892" i="5"/>
  <c r="J893" i="5"/>
  <c r="K893" i="5"/>
  <c r="L893" i="5"/>
  <c r="J894" i="5"/>
  <c r="K894" i="5"/>
  <c r="L894" i="5"/>
  <c r="J895" i="5"/>
  <c r="K895" i="5"/>
  <c r="L895" i="5"/>
  <c r="J896" i="5"/>
  <c r="K896" i="5"/>
  <c r="L896" i="5"/>
  <c r="J897" i="5"/>
  <c r="K897" i="5"/>
  <c r="L897" i="5"/>
  <c r="J898" i="5"/>
  <c r="K898" i="5"/>
  <c r="L898" i="5"/>
  <c r="J899" i="5"/>
  <c r="K899" i="5"/>
  <c r="L899" i="5"/>
  <c r="J900" i="5"/>
  <c r="K900" i="5"/>
  <c r="L900" i="5"/>
  <c r="J901" i="5"/>
  <c r="K901" i="5"/>
  <c r="L901" i="5"/>
  <c r="J902" i="5"/>
  <c r="K902" i="5"/>
  <c r="L902" i="5"/>
  <c r="J903" i="5"/>
  <c r="K903" i="5"/>
  <c r="L903" i="5"/>
  <c r="J904" i="5"/>
  <c r="K904" i="5"/>
  <c r="L904" i="5"/>
  <c r="J905" i="5"/>
  <c r="K905" i="5"/>
  <c r="L905" i="5"/>
  <c r="J906" i="5"/>
  <c r="K906" i="5"/>
  <c r="L906" i="5"/>
  <c r="J907" i="5"/>
  <c r="K907" i="5"/>
  <c r="L907" i="5"/>
  <c r="J908" i="5"/>
  <c r="K908" i="5"/>
  <c r="L908" i="5"/>
  <c r="J909" i="5"/>
  <c r="K909" i="5"/>
  <c r="L909" i="5"/>
  <c r="J910" i="5"/>
  <c r="K910" i="5"/>
  <c r="L910" i="5"/>
  <c r="J911" i="5"/>
  <c r="K911" i="5"/>
  <c r="L911" i="5"/>
  <c r="J912" i="5"/>
  <c r="K912" i="5"/>
  <c r="L912" i="5"/>
  <c r="J913" i="5"/>
  <c r="K913" i="5"/>
  <c r="L913" i="5"/>
  <c r="J914" i="5"/>
  <c r="K914" i="5"/>
  <c r="L914" i="5"/>
  <c r="J915" i="5"/>
  <c r="K915" i="5"/>
  <c r="L915" i="5"/>
  <c r="J916" i="5"/>
  <c r="K916" i="5"/>
  <c r="L916" i="5"/>
  <c r="J917" i="5"/>
  <c r="K917" i="5"/>
  <c r="L917" i="5"/>
  <c r="J918" i="5"/>
  <c r="K918" i="5"/>
  <c r="L918" i="5"/>
  <c r="J919" i="5"/>
  <c r="K919" i="5"/>
  <c r="L919" i="5"/>
  <c r="J920" i="5"/>
  <c r="K920" i="5"/>
  <c r="L920" i="5"/>
  <c r="J921" i="5"/>
  <c r="K921" i="5"/>
  <c r="L921" i="5"/>
  <c r="J922" i="5"/>
  <c r="K922" i="5"/>
  <c r="L922" i="5"/>
  <c r="J923" i="5"/>
  <c r="K923" i="5"/>
  <c r="L923" i="5"/>
  <c r="J924" i="5"/>
  <c r="K924" i="5"/>
  <c r="L924" i="5"/>
  <c r="J925" i="5"/>
  <c r="K925" i="5"/>
  <c r="L925" i="5"/>
  <c r="J926" i="5"/>
  <c r="K926" i="5"/>
  <c r="L926" i="5"/>
  <c r="J927" i="5"/>
  <c r="K927" i="5"/>
  <c r="L927" i="5"/>
  <c r="J928" i="5"/>
  <c r="K928" i="5"/>
  <c r="L928" i="5"/>
  <c r="J929" i="5"/>
  <c r="K929" i="5"/>
  <c r="L929" i="5"/>
  <c r="J930" i="5"/>
  <c r="K930" i="5"/>
  <c r="L930" i="5"/>
  <c r="J931" i="5"/>
  <c r="K931" i="5"/>
  <c r="L931" i="5"/>
  <c r="J932" i="5"/>
  <c r="K932" i="5"/>
  <c r="L932" i="5"/>
  <c r="J933" i="5"/>
  <c r="K933" i="5"/>
  <c r="L933" i="5"/>
  <c r="J934" i="5"/>
  <c r="K934" i="5"/>
  <c r="L934" i="5"/>
  <c r="J935" i="5"/>
  <c r="K935" i="5"/>
  <c r="L935" i="5"/>
  <c r="J936" i="5"/>
  <c r="K936" i="5"/>
  <c r="L936" i="5"/>
  <c r="J937" i="5"/>
  <c r="K937" i="5"/>
  <c r="L937" i="5"/>
  <c r="J938" i="5"/>
  <c r="K938" i="5"/>
  <c r="L938" i="5"/>
  <c r="J939" i="5"/>
  <c r="K939" i="5"/>
  <c r="L939" i="5"/>
  <c r="J940" i="5"/>
  <c r="K940" i="5"/>
  <c r="L940" i="5"/>
  <c r="J941" i="5"/>
  <c r="K941" i="5"/>
  <c r="L941" i="5"/>
  <c r="J942" i="5"/>
  <c r="K942" i="5"/>
  <c r="L942" i="5"/>
  <c r="J943" i="5"/>
  <c r="K943" i="5"/>
  <c r="L943" i="5"/>
  <c r="J944" i="5"/>
  <c r="K944" i="5"/>
  <c r="L944" i="5"/>
  <c r="J945" i="5"/>
  <c r="K945" i="5"/>
  <c r="L945" i="5"/>
  <c r="J946" i="5"/>
  <c r="K946" i="5"/>
  <c r="L946" i="5"/>
  <c r="J947" i="5"/>
  <c r="K947" i="5"/>
  <c r="L947" i="5"/>
  <c r="J948" i="5"/>
  <c r="K948" i="5"/>
  <c r="L948" i="5"/>
  <c r="J949" i="5"/>
  <c r="K949" i="5"/>
  <c r="L949" i="5"/>
  <c r="J950" i="5"/>
  <c r="K950" i="5"/>
  <c r="L950" i="5"/>
  <c r="J951" i="5"/>
  <c r="K951" i="5"/>
  <c r="L951" i="5"/>
  <c r="J952" i="5"/>
  <c r="K952" i="5"/>
  <c r="L952" i="5"/>
  <c r="J953" i="5"/>
  <c r="K953" i="5"/>
  <c r="L953" i="5"/>
  <c r="J954" i="5"/>
  <c r="K954" i="5"/>
  <c r="L954" i="5"/>
  <c r="J955" i="5"/>
  <c r="K955" i="5"/>
  <c r="L955" i="5"/>
  <c r="J956" i="5"/>
  <c r="K956" i="5"/>
  <c r="L956" i="5"/>
  <c r="J957" i="5"/>
  <c r="K957" i="5"/>
  <c r="L957" i="5"/>
  <c r="J958" i="5"/>
  <c r="K958" i="5"/>
  <c r="L958" i="5"/>
  <c r="J959" i="5"/>
  <c r="K959" i="5"/>
  <c r="L959" i="5"/>
  <c r="J960" i="5"/>
  <c r="K960" i="5"/>
  <c r="L960" i="5"/>
  <c r="J961" i="5"/>
  <c r="K961" i="5"/>
  <c r="L961" i="5"/>
  <c r="J962" i="5"/>
  <c r="K962" i="5"/>
  <c r="L962" i="5"/>
  <c r="J963" i="5"/>
  <c r="K963" i="5"/>
  <c r="L963" i="5"/>
  <c r="J964" i="5"/>
  <c r="K964" i="5"/>
  <c r="L964" i="5"/>
  <c r="J965" i="5"/>
  <c r="K965" i="5"/>
  <c r="L965" i="5"/>
  <c r="J966" i="5"/>
  <c r="K966" i="5"/>
  <c r="L966" i="5"/>
  <c r="J967" i="5"/>
  <c r="K967" i="5"/>
  <c r="L967" i="5"/>
  <c r="J968" i="5"/>
  <c r="K968" i="5"/>
  <c r="L968" i="5"/>
  <c r="J969" i="5"/>
  <c r="K969" i="5"/>
  <c r="L969" i="5"/>
  <c r="J970" i="5"/>
  <c r="K970" i="5"/>
  <c r="L970" i="5"/>
  <c r="J971" i="5"/>
  <c r="K971" i="5"/>
  <c r="L971" i="5"/>
  <c r="J972" i="5"/>
  <c r="K972" i="5"/>
  <c r="L972" i="5"/>
  <c r="J973" i="5"/>
  <c r="K973" i="5"/>
  <c r="L973" i="5"/>
  <c r="J974" i="5"/>
  <c r="K974" i="5"/>
  <c r="L974" i="5"/>
  <c r="J975" i="5"/>
  <c r="K975" i="5"/>
  <c r="L975" i="5"/>
  <c r="J976" i="5"/>
  <c r="K976" i="5"/>
  <c r="L976" i="5"/>
  <c r="J977" i="5"/>
  <c r="K977" i="5"/>
  <c r="L977" i="5"/>
  <c r="J978" i="5"/>
  <c r="K978" i="5"/>
  <c r="L978" i="5"/>
  <c r="J979" i="5"/>
  <c r="K979" i="5"/>
  <c r="L979" i="5"/>
  <c r="J980" i="5"/>
  <c r="K980" i="5"/>
  <c r="L980" i="5"/>
  <c r="J981" i="5"/>
  <c r="K981" i="5"/>
  <c r="L981" i="5"/>
  <c r="J982" i="5"/>
  <c r="K982" i="5"/>
  <c r="L982" i="5"/>
  <c r="J983" i="5"/>
  <c r="K983" i="5"/>
  <c r="L983" i="5"/>
  <c r="J984" i="5"/>
  <c r="K984" i="5"/>
  <c r="L984" i="5"/>
  <c r="J985" i="5"/>
  <c r="K985" i="5"/>
  <c r="L985" i="5"/>
  <c r="J986" i="5"/>
  <c r="K986" i="5"/>
  <c r="L986" i="5"/>
  <c r="J987" i="5"/>
  <c r="K987" i="5"/>
  <c r="L987" i="5"/>
  <c r="J988" i="5"/>
  <c r="K988" i="5"/>
  <c r="L988" i="5"/>
  <c r="J989" i="5"/>
  <c r="K989" i="5"/>
  <c r="L989" i="5"/>
  <c r="J990" i="5"/>
  <c r="K990" i="5"/>
  <c r="L990" i="5"/>
  <c r="J991" i="5"/>
  <c r="K991" i="5"/>
  <c r="L991" i="5"/>
  <c r="J992" i="5"/>
  <c r="K992" i="5"/>
  <c r="L992" i="5"/>
  <c r="J993" i="5"/>
  <c r="K993" i="5"/>
  <c r="L993" i="5"/>
  <c r="J994" i="5"/>
  <c r="K994" i="5"/>
  <c r="L994" i="5"/>
  <c r="J995" i="5"/>
  <c r="K995" i="5"/>
  <c r="L995" i="5"/>
  <c r="J996" i="5"/>
  <c r="K996" i="5"/>
  <c r="L996" i="5"/>
  <c r="J997" i="5"/>
  <c r="K997" i="5"/>
  <c r="L997" i="5"/>
  <c r="J998" i="5"/>
  <c r="K998" i="5"/>
  <c r="L998" i="5"/>
  <c r="J999" i="5"/>
  <c r="K999" i="5"/>
  <c r="L999" i="5"/>
  <c r="J1000" i="5"/>
  <c r="K1000" i="5"/>
  <c r="L1000" i="5"/>
  <c r="J1001" i="5"/>
  <c r="K1001" i="5"/>
  <c r="L1001" i="5"/>
  <c r="J1002" i="5"/>
  <c r="K1002" i="5"/>
  <c r="L1002" i="5"/>
  <c r="J1003" i="5"/>
  <c r="K1003" i="5"/>
  <c r="L1003" i="5"/>
  <c r="J1004" i="5"/>
  <c r="K1004" i="5"/>
  <c r="L1004" i="5"/>
  <c r="J1005" i="5"/>
  <c r="K1005" i="5"/>
  <c r="L1005" i="5"/>
  <c r="J1006" i="5"/>
  <c r="K1006" i="5"/>
  <c r="L1006" i="5"/>
  <c r="J1007" i="5"/>
  <c r="K1007" i="5"/>
  <c r="L1007" i="5"/>
  <c r="J1008" i="5"/>
  <c r="K1008" i="5"/>
  <c r="L1008" i="5"/>
  <c r="J1009" i="5"/>
  <c r="K1009" i="5"/>
  <c r="L1009" i="5"/>
  <c r="J1010" i="5"/>
  <c r="K1010" i="5"/>
  <c r="L1010" i="5"/>
  <c r="J1011" i="5"/>
  <c r="K1011" i="5"/>
  <c r="L1011" i="5"/>
  <c r="J1012" i="5"/>
  <c r="K1012" i="5"/>
  <c r="L1012" i="5"/>
  <c r="J1013" i="5"/>
  <c r="K1013" i="5"/>
  <c r="L1013" i="5"/>
  <c r="J1014" i="5"/>
  <c r="K1014" i="5"/>
  <c r="L1014" i="5"/>
  <c r="J1015" i="5"/>
  <c r="K1015" i="5"/>
  <c r="L1015" i="5"/>
  <c r="J1016" i="5"/>
  <c r="K1016" i="5"/>
  <c r="L1016" i="5"/>
  <c r="J1017" i="5"/>
  <c r="K1017" i="5"/>
  <c r="L1017" i="5"/>
  <c r="J1018" i="5"/>
  <c r="K1018" i="5"/>
  <c r="L1018" i="5"/>
  <c r="J1019" i="5"/>
  <c r="K1019" i="5"/>
  <c r="L1019" i="5"/>
  <c r="J1020" i="5"/>
  <c r="K1020" i="5"/>
  <c r="L1020" i="5"/>
  <c r="J1021" i="5"/>
  <c r="K1021" i="5"/>
  <c r="L1021" i="5"/>
  <c r="J1022" i="5"/>
  <c r="K1022" i="5"/>
  <c r="L1022" i="5"/>
  <c r="J1023" i="5"/>
  <c r="K1023" i="5"/>
  <c r="L1023" i="5"/>
  <c r="J1024" i="5"/>
  <c r="K1024" i="5"/>
  <c r="L1024" i="5"/>
  <c r="J1025" i="5"/>
  <c r="K1025" i="5"/>
  <c r="L1025" i="5"/>
  <c r="J1026" i="5"/>
  <c r="K1026" i="5"/>
  <c r="L1026" i="5"/>
  <c r="J1027" i="5"/>
  <c r="K1027" i="5"/>
  <c r="L1027" i="5"/>
  <c r="J1028" i="5"/>
  <c r="K1028" i="5"/>
  <c r="L1028" i="5"/>
  <c r="J1029" i="5"/>
  <c r="K1029" i="5"/>
  <c r="L1029" i="5"/>
  <c r="J1030" i="5"/>
  <c r="K1030" i="5"/>
  <c r="L1030" i="5"/>
  <c r="J1031" i="5"/>
  <c r="K1031" i="5"/>
  <c r="L1031" i="5"/>
  <c r="J1032" i="5"/>
  <c r="K1032" i="5"/>
  <c r="L1032" i="5"/>
  <c r="J1033" i="5"/>
  <c r="K1033" i="5"/>
  <c r="L1033" i="5"/>
  <c r="J1034" i="5"/>
  <c r="K1034" i="5"/>
  <c r="L1034" i="5"/>
  <c r="J1035" i="5"/>
  <c r="K1035" i="5"/>
  <c r="L1035" i="5"/>
  <c r="J1036" i="5"/>
  <c r="K1036" i="5"/>
  <c r="L1036" i="5"/>
  <c r="J1037" i="5"/>
  <c r="K1037" i="5"/>
  <c r="L1037" i="5"/>
  <c r="J1038" i="5"/>
  <c r="K1038" i="5"/>
  <c r="L1038" i="5"/>
  <c r="J1039" i="5"/>
  <c r="K1039" i="5"/>
  <c r="L1039" i="5"/>
  <c r="J1040" i="5"/>
  <c r="K1040" i="5"/>
  <c r="L1040" i="5"/>
  <c r="J1041" i="5"/>
  <c r="K1041" i="5"/>
  <c r="L1041" i="5"/>
  <c r="J1042" i="5"/>
  <c r="K1042" i="5"/>
  <c r="L1042" i="5"/>
  <c r="J1043" i="5"/>
  <c r="K1043" i="5"/>
  <c r="L1043" i="5"/>
  <c r="J1044" i="5"/>
  <c r="K1044" i="5"/>
  <c r="L1044" i="5"/>
  <c r="J1045" i="5"/>
  <c r="K1045" i="5"/>
  <c r="L1045" i="5"/>
  <c r="J1046" i="5"/>
  <c r="K1046" i="5"/>
  <c r="L1046" i="5"/>
  <c r="J1047" i="5"/>
  <c r="K1047" i="5"/>
  <c r="L1047" i="5"/>
  <c r="J1048" i="5"/>
  <c r="K1048" i="5"/>
  <c r="L1048" i="5"/>
  <c r="J1049" i="5"/>
  <c r="K1049" i="5"/>
  <c r="L1049" i="5"/>
  <c r="J1050" i="5"/>
  <c r="K1050" i="5"/>
  <c r="L1050" i="5"/>
  <c r="J1051" i="5"/>
  <c r="K1051" i="5"/>
  <c r="L1051" i="5"/>
  <c r="J1052" i="5"/>
  <c r="K1052" i="5"/>
  <c r="L1052" i="5"/>
  <c r="J1053" i="5"/>
  <c r="K1053" i="5"/>
  <c r="L1053" i="5"/>
  <c r="J1054" i="5"/>
  <c r="K1054" i="5"/>
  <c r="L1054" i="5"/>
  <c r="J1055" i="5"/>
  <c r="K1055" i="5"/>
  <c r="L1055" i="5"/>
  <c r="J1056" i="5"/>
  <c r="K1056" i="5"/>
  <c r="L1056" i="5"/>
  <c r="J1057" i="5"/>
  <c r="K1057" i="5"/>
  <c r="L1057" i="5"/>
  <c r="J1058" i="5"/>
  <c r="K1058" i="5"/>
  <c r="L1058" i="5"/>
  <c r="J1059" i="5"/>
  <c r="K1059" i="5"/>
  <c r="L1059" i="5"/>
  <c r="J1060" i="5"/>
  <c r="K1060" i="5"/>
  <c r="L1060" i="5"/>
  <c r="L61" i="5"/>
  <c r="K61" i="5"/>
  <c r="J61" i="5"/>
  <c r="I61" i="5" a="1"/>
  <c r="I61" i="5" s="1"/>
  <c r="B56" i="5"/>
  <c r="B54" i="5" a="1"/>
  <c r="B54" i="5" s="1"/>
  <c r="B44" i="5"/>
  <c r="B32" i="1"/>
  <c r="E29" i="5" s="1"/>
  <c r="B37" i="1"/>
  <c r="B36" i="1"/>
  <c r="B11" i="5" s="1"/>
  <c r="B35" i="1"/>
  <c r="B34" i="1"/>
  <c r="B33" i="1"/>
  <c r="C30" i="5" s="1"/>
  <c r="B28" i="5" a="1"/>
  <c r="B28" i="5" s="1"/>
  <c r="B33" i="5" a="1"/>
  <c r="B33" i="5" s="1"/>
  <c r="B32" i="5" a="1"/>
  <c r="B32" i="5" s="1"/>
  <c r="B31" i="5" a="1"/>
  <c r="B31" i="5" s="1"/>
  <c r="B30" i="5" a="1"/>
  <c r="B30" i="5" s="1"/>
  <c r="B29" i="5" a="1"/>
  <c r="B29" i="5" s="1"/>
  <c r="B18" i="5" a="1"/>
  <c r="B18" i="5" s="1"/>
  <c r="B53" i="5" s="1"/>
  <c r="B17" i="5"/>
  <c r="B16" i="5"/>
  <c r="B15" i="5"/>
  <c r="B10" i="5"/>
  <c r="B8" i="5"/>
  <c r="B7" i="5"/>
  <c r="B6" i="5"/>
  <c r="C22" i="4" a="1"/>
  <c r="C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B22" i="4" a="1"/>
  <c r="B22" i="4" s="1"/>
  <c r="C21" i="4" a="1"/>
  <c r="C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B16" i="7" s="1"/>
  <c r="B21" i="4" a="1"/>
  <c r="B21" i="4" s="1"/>
  <c r="C56" i="4" a="1"/>
  <c r="C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C57" i="4" a="1"/>
  <c r="C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C58" i="4" a="1"/>
  <c r="C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 s="1"/>
  <c r="C59" i="4" a="1"/>
  <c r="C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C60" i="4" a="1"/>
  <c r="C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C61" i="4" a="1"/>
  <c r="C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C62" i="4" a="1"/>
  <c r="C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C63" i="4" a="1"/>
  <c r="C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C66" i="4" a="1"/>
  <c r="C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C69" i="4" a="1"/>
  <c r="C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C70" i="4" a="1"/>
  <c r="C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C71" i="4" a="1"/>
  <c r="C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C75" i="4" a="1"/>
  <c r="C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B75" i="4" a="1"/>
  <c r="B75" i="4" s="1"/>
  <c r="B71" i="4" a="1"/>
  <c r="B71" i="4" s="1"/>
  <c r="B70" i="4" a="1"/>
  <c r="B70" i="4" s="1"/>
  <c r="B69" i="4" a="1"/>
  <c r="B69" i="4" s="1"/>
  <c r="B66" i="4" a="1"/>
  <c r="B66" i="4" s="1"/>
  <c r="B63" i="4" a="1"/>
  <c r="B63" i="4" s="1"/>
  <c r="B62" i="4" a="1"/>
  <c r="B62" i="4" s="1"/>
  <c r="B61" i="4" a="1"/>
  <c r="B61" i="4" s="1"/>
  <c r="B60" i="4" a="1"/>
  <c r="B60" i="4" s="1"/>
  <c r="B59" i="4" a="1"/>
  <c r="B59" i="4" s="1"/>
  <c r="B58" i="4" a="1"/>
  <c r="B58" i="4" s="1"/>
  <c r="B57" i="4" a="1"/>
  <c r="B57" i="4" s="1"/>
  <c r="B56" i="4" a="1"/>
  <c r="B56" i="4" s="1"/>
  <c r="C30" i="4" a="1"/>
  <c r="C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C31" i="4" a="1"/>
  <c r="C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C32" i="4" a="1"/>
  <c r="C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C33" i="4" a="1"/>
  <c r="C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C34" i="4" a="1"/>
  <c r="C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C35" i="4" a="1"/>
  <c r="C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C38" i="4" a="1"/>
  <c r="C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C39" i="4" a="1"/>
  <c r="C39" i="4" s="1"/>
  <c r="D39" i="4" a="1"/>
  <c r="D39" i="4" s="1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C40" i="4" a="1"/>
  <c r="C40" i="4" s="1"/>
  <c r="D40" i="4" a="1"/>
  <c r="D40" i="4" s="1"/>
  <c r="E40" i="4" a="1"/>
  <c r="E40" i="4" s="1"/>
  <c r="F40" i="4" a="1"/>
  <c r="F40" i="4" s="1"/>
  <c r="G40" i="4" a="1"/>
  <c r="G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C41" i="4" a="1"/>
  <c r="C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I41" i="4" a="1"/>
  <c r="I41" i="4" s="1"/>
  <c r="J41" i="4" a="1"/>
  <c r="J41" i="4" s="1"/>
  <c r="K41" i="4" a="1"/>
  <c r="K41" i="4" s="1"/>
  <c r="L41" i="4" a="1"/>
  <c r="L41" i="4" s="1"/>
  <c r="C44" i="4" a="1"/>
  <c r="C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B44" i="4" a="1"/>
  <c r="B44" i="4" s="1"/>
  <c r="B41" i="4" a="1"/>
  <c r="B41" i="4" s="1"/>
  <c r="B40" i="4" a="1"/>
  <c r="B40" i="4" s="1"/>
  <c r="B39" i="4" a="1"/>
  <c r="B39" i="4" s="1"/>
  <c r="B38" i="4" a="1"/>
  <c r="B38" i="4" s="1"/>
  <c r="B35" i="4" a="1"/>
  <c r="B35" i="4" s="1"/>
  <c r="B34" i="4" a="1"/>
  <c r="B34" i="4" s="1"/>
  <c r="B33" i="4" a="1"/>
  <c r="B33" i="4" s="1"/>
  <c r="B32" i="4" a="1"/>
  <c r="B32" i="4" s="1"/>
  <c r="B31" i="4" a="1"/>
  <c r="B31" i="4" s="1"/>
  <c r="B30" i="4" a="1"/>
  <c r="B30" i="4" s="1"/>
  <c r="C29" i="4" a="1"/>
  <c r="C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I29" i="4" a="1"/>
  <c r="I29" i="4" s="1"/>
  <c r="J29" i="4" a="1"/>
  <c r="J29" i="4" s="1"/>
  <c r="K29" i="4" a="1"/>
  <c r="K29" i="4" s="1"/>
  <c r="L29" i="4" a="1"/>
  <c r="L29" i="4" s="1"/>
  <c r="B29" i="4" a="1"/>
  <c r="B29" i="4" s="1"/>
  <c r="C16" i="4" a="1"/>
  <c r="C16" i="4" s="1"/>
  <c r="D16" i="4" a="1"/>
  <c r="D16" i="4" s="1"/>
  <c r="E16" i="4" a="1"/>
  <c r="E16" i="4" s="1"/>
  <c r="F16" i="4" a="1"/>
  <c r="F16" i="4" s="1"/>
  <c r="G16" i="4" a="1"/>
  <c r="G16" i="4" s="1"/>
  <c r="H16" i="4" a="1"/>
  <c r="H16" i="4" s="1"/>
  <c r="I16" i="4" a="1"/>
  <c r="I16" i="4" s="1"/>
  <c r="J16" i="4" a="1"/>
  <c r="J16" i="4" s="1"/>
  <c r="K16" i="4" a="1"/>
  <c r="K16" i="4" s="1"/>
  <c r="L16" i="4" a="1"/>
  <c r="L16" i="4" s="1"/>
  <c r="C17" i="4" a="1"/>
  <c r="C17" i="4" s="1"/>
  <c r="D17" i="4" a="1"/>
  <c r="D17" i="4" s="1"/>
  <c r="E17" i="4" a="1"/>
  <c r="E17" i="4" s="1"/>
  <c r="F17" i="4" a="1"/>
  <c r="F17" i="4" s="1"/>
  <c r="G17" i="4" a="1"/>
  <c r="G17" i="4" s="1"/>
  <c r="H17" i="4" a="1"/>
  <c r="H17" i="4" s="1"/>
  <c r="I17" i="4" a="1"/>
  <c r="I17" i="4" s="1"/>
  <c r="J17" i="4" a="1"/>
  <c r="J17" i="4" s="1"/>
  <c r="K17" i="4" a="1"/>
  <c r="K17" i="4" s="1"/>
  <c r="L17" i="4" a="1"/>
  <c r="L17" i="4" s="1"/>
  <c r="C18" i="4" a="1"/>
  <c r="C18" i="4" s="1"/>
  <c r="D18" i="4" a="1"/>
  <c r="D18" i="4" s="1"/>
  <c r="E18" i="4" a="1"/>
  <c r="E18" i="4" s="1"/>
  <c r="F18" i="4" a="1"/>
  <c r="F18" i="4" s="1"/>
  <c r="G18" i="4" a="1"/>
  <c r="G18" i="4" s="1"/>
  <c r="H18" i="4" a="1"/>
  <c r="H18" i="4" s="1"/>
  <c r="I18" i="4" a="1"/>
  <c r="I18" i="4" s="1"/>
  <c r="J18" i="4" a="1"/>
  <c r="J18" i="4" s="1"/>
  <c r="K18" i="4" a="1"/>
  <c r="K18" i="4" s="1"/>
  <c r="L18" i="4" a="1"/>
  <c r="L18" i="4" s="1"/>
  <c r="B14" i="7" s="1"/>
  <c r="B16" i="4" a="1"/>
  <c r="B16" i="4" s="1"/>
  <c r="B17" i="4" a="1"/>
  <c r="B17" i="4" s="1"/>
  <c r="B18" i="4" a="1"/>
  <c r="B18" i="4" s="1"/>
  <c r="C13" i="4" a="1"/>
  <c r="C13" i="4" s="1"/>
  <c r="D13" i="4" a="1"/>
  <c r="D13" i="4" s="1"/>
  <c r="E13" i="4" a="1"/>
  <c r="E13" i="4" s="1"/>
  <c r="F13" i="4" a="1"/>
  <c r="F13" i="4" s="1"/>
  <c r="G13" i="4" a="1"/>
  <c r="G13" i="4" s="1"/>
  <c r="H13" i="4" a="1"/>
  <c r="H13" i="4" s="1"/>
  <c r="I13" i="4" a="1"/>
  <c r="I13" i="4" s="1"/>
  <c r="J13" i="4" a="1"/>
  <c r="J13" i="4" s="1"/>
  <c r="K13" i="4" a="1"/>
  <c r="K13" i="4" s="1"/>
  <c r="L13" i="4" a="1"/>
  <c r="L13" i="4" s="1"/>
  <c r="B13" i="4" a="1"/>
  <c r="B13" i="4" s="1"/>
  <c r="C11" i="4" a="1"/>
  <c r="C11" i="4" s="1"/>
  <c r="D11" i="4" a="1"/>
  <c r="D11" i="4" s="1"/>
  <c r="E11" i="4" a="1"/>
  <c r="E11" i="4" s="1"/>
  <c r="F11" i="4" a="1"/>
  <c r="F11" i="4" s="1"/>
  <c r="G11" i="4" a="1"/>
  <c r="G11" i="4" s="1"/>
  <c r="H11" i="4" a="1"/>
  <c r="H11" i="4" s="1"/>
  <c r="I11" i="4" a="1"/>
  <c r="I11" i="4" s="1"/>
  <c r="J11" i="4" a="1"/>
  <c r="J11" i="4" s="1"/>
  <c r="K11" i="4" a="1"/>
  <c r="K11" i="4" s="1"/>
  <c r="L11" i="4" a="1"/>
  <c r="L11" i="4" s="1"/>
  <c r="B11" i="4" a="1"/>
  <c r="B11" i="4" s="1"/>
  <c r="C10" i="4" a="1"/>
  <c r="C10" i="4" s="1"/>
  <c r="D10" i="4" a="1"/>
  <c r="D10" i="4" s="1"/>
  <c r="E10" i="4" a="1"/>
  <c r="E10" i="4" s="1"/>
  <c r="F10" i="4" a="1"/>
  <c r="F10" i="4" s="1"/>
  <c r="G10" i="4" a="1"/>
  <c r="G10" i="4" s="1"/>
  <c r="H10" i="4" a="1"/>
  <c r="H10" i="4" s="1"/>
  <c r="I10" i="4" a="1"/>
  <c r="I10" i="4" s="1"/>
  <c r="J10" i="4" a="1"/>
  <c r="J10" i="4" s="1"/>
  <c r="K10" i="4" a="1"/>
  <c r="K10" i="4" s="1"/>
  <c r="L10" i="4" a="1"/>
  <c r="L10" i="4" s="1"/>
  <c r="B10" i="4" a="1"/>
  <c r="B10" i="4" s="1"/>
  <c r="B7" i="4" a="1"/>
  <c r="B7" i="4" s="1"/>
  <c r="C7" i="4" a="1"/>
  <c r="C7" i="4" s="1"/>
  <c r="D7" i="4" a="1"/>
  <c r="D7" i="4" s="1"/>
  <c r="E7" i="4" a="1"/>
  <c r="E7" i="4" s="1"/>
  <c r="F7" i="4" a="1"/>
  <c r="F7" i="4" s="1"/>
  <c r="G7" i="4" a="1"/>
  <c r="G7" i="4" s="1"/>
  <c r="H7" i="4" a="1"/>
  <c r="H7" i="4" s="1"/>
  <c r="I7" i="4" a="1"/>
  <c r="I7" i="4" s="1"/>
  <c r="J7" i="4" a="1"/>
  <c r="J7" i="4" s="1"/>
  <c r="K7" i="4" a="1"/>
  <c r="K7" i="4" s="1"/>
  <c r="L7" i="4" a="1"/>
  <c r="L7" i="4" s="1"/>
  <c r="C6" i="4" a="1"/>
  <c r="C6" i="4" s="1"/>
  <c r="D6" i="4" a="1"/>
  <c r="D6" i="4" s="1"/>
  <c r="E6" i="4" a="1"/>
  <c r="E6" i="4" s="1"/>
  <c r="F6" i="4" a="1"/>
  <c r="F6" i="4" s="1"/>
  <c r="G6" i="4" a="1"/>
  <c r="G6" i="4" s="1"/>
  <c r="H6" i="4" a="1"/>
  <c r="H6" i="4" s="1"/>
  <c r="I6" i="4" a="1"/>
  <c r="I6" i="4" s="1"/>
  <c r="J6" i="4" a="1"/>
  <c r="J6" i="4" s="1"/>
  <c r="K6" i="4" a="1"/>
  <c r="K6" i="4" s="1"/>
  <c r="L6" i="4" a="1"/>
  <c r="L6" i="4" s="1"/>
  <c r="B6" i="4" a="1"/>
  <c r="B6" i="4" s="1"/>
  <c r="C5" i="4" a="1"/>
  <c r="C5" i="4" s="1"/>
  <c r="D5" i="4" a="1"/>
  <c r="D5" i="4" s="1"/>
  <c r="E5" i="4" a="1"/>
  <c r="E5" i="4" s="1"/>
  <c r="F5" i="4" a="1"/>
  <c r="F5" i="4" s="1"/>
  <c r="G5" i="4" a="1"/>
  <c r="G5" i="4" s="1"/>
  <c r="H5" i="4" a="1"/>
  <c r="H5" i="4" s="1"/>
  <c r="I5" i="4" a="1"/>
  <c r="I5" i="4" s="1"/>
  <c r="J5" i="4" a="1"/>
  <c r="J5" i="4" s="1"/>
  <c r="K5" i="4" a="1"/>
  <c r="K5" i="4" s="1"/>
  <c r="L5" i="4" a="1"/>
  <c r="L5" i="4" s="1"/>
  <c r="B13" i="7" s="1"/>
  <c r="B5" i="4" a="1"/>
  <c r="B5" i="4" s="1"/>
  <c r="C74" i="4" l="1"/>
  <c r="I74" i="4"/>
  <c r="H74" i="4"/>
  <c r="E98" i="8"/>
  <c r="C93" i="8"/>
  <c r="C122" i="8"/>
  <c r="C114" i="8"/>
  <c r="C106" i="8"/>
  <c r="C90" i="8"/>
  <c r="C82" i="8"/>
  <c r="C74" i="8"/>
  <c r="C66" i="8"/>
  <c r="C58" i="8"/>
  <c r="C50" i="8"/>
  <c r="C42" i="8"/>
  <c r="C34" i="8"/>
  <c r="C26" i="8"/>
  <c r="C18" i="8"/>
  <c r="C10" i="8"/>
  <c r="C123" i="8"/>
  <c r="C115" i="8"/>
  <c r="C107" i="8"/>
  <c r="C99" i="8"/>
  <c r="C91" i="8"/>
  <c r="C83" i="8"/>
  <c r="C75" i="8"/>
  <c r="C67" i="8"/>
  <c r="C98" i="8"/>
  <c r="C16" i="8"/>
  <c r="C8" i="8"/>
  <c r="E10" i="8"/>
  <c r="E26" i="8"/>
  <c r="E42" i="8"/>
  <c r="E58" i="8"/>
  <c r="F46" i="8"/>
  <c r="G47" i="8" s="1"/>
  <c r="E34" i="8"/>
  <c r="E50" i="8"/>
  <c r="C59" i="8"/>
  <c r="C51" i="8"/>
  <c r="C43" i="8"/>
  <c r="C35" i="8"/>
  <c r="C27" i="8"/>
  <c r="C19" i="8"/>
  <c r="C11" i="8"/>
  <c r="D95" i="8"/>
  <c r="E96" i="8" s="1"/>
  <c r="F110" i="8"/>
  <c r="G111" i="8" s="1"/>
  <c r="E25" i="8"/>
  <c r="E33" i="8"/>
  <c r="E41" i="8"/>
  <c r="E49" i="8"/>
  <c r="E57" i="8"/>
  <c r="E28" i="8"/>
  <c r="E60" i="8"/>
  <c r="E70" i="8"/>
  <c r="E20" i="8"/>
  <c r="E52" i="8"/>
  <c r="E44" i="8"/>
  <c r="E12" i="8"/>
  <c r="E36" i="8"/>
  <c r="E13" i="8"/>
  <c r="E21" i="8"/>
  <c r="E29" i="8"/>
  <c r="E37" i="8"/>
  <c r="E45" i="8"/>
  <c r="E53" i="8"/>
  <c r="E61" i="8"/>
  <c r="C124" i="8"/>
  <c r="C116" i="8"/>
  <c r="C108" i="8"/>
  <c r="C100" i="8"/>
  <c r="C92" i="8"/>
  <c r="C84" i="8"/>
  <c r="C76" i="8"/>
  <c r="C68" i="8"/>
  <c r="C60" i="8"/>
  <c r="C52" i="8"/>
  <c r="C44" i="8"/>
  <c r="C36" i="8"/>
  <c r="C28" i="8"/>
  <c r="C20" i="8"/>
  <c r="C12" i="8"/>
  <c r="D87" i="8"/>
  <c r="E88" i="8" s="1"/>
  <c r="F102" i="8"/>
  <c r="G103" i="8" s="1"/>
  <c r="F38" i="8"/>
  <c r="G39" i="8" s="1"/>
  <c r="D79" i="8"/>
  <c r="E80" i="8" s="1"/>
  <c r="F94" i="8"/>
  <c r="G95" i="8" s="1"/>
  <c r="F30" i="8"/>
  <c r="G31" i="8" s="1"/>
  <c r="D71" i="8"/>
  <c r="E72" i="8" s="1"/>
  <c r="F86" i="8"/>
  <c r="G87" i="8" s="1"/>
  <c r="F22" i="8"/>
  <c r="G23" i="8" s="1"/>
  <c r="D127" i="8"/>
  <c r="E127" i="8" s="1"/>
  <c r="D15" i="8"/>
  <c r="E15" i="8" s="1"/>
  <c r="F78" i="8"/>
  <c r="G79" i="8" s="1"/>
  <c r="F14" i="8"/>
  <c r="G15" i="8" s="1"/>
  <c r="C120" i="8"/>
  <c r="C112" i="8"/>
  <c r="C104" i="8"/>
  <c r="C96" i="8"/>
  <c r="C88" i="8"/>
  <c r="C80" i="8"/>
  <c r="C72" i="8"/>
  <c r="C64" i="8"/>
  <c r="C56" i="8"/>
  <c r="C48" i="8"/>
  <c r="C40" i="8"/>
  <c r="C32" i="8"/>
  <c r="C24" i="8"/>
  <c r="D119" i="8"/>
  <c r="E119" i="8" s="1"/>
  <c r="D7" i="8"/>
  <c r="F70" i="8"/>
  <c r="G71" i="8" s="1"/>
  <c r="C127" i="8"/>
  <c r="C119" i="8"/>
  <c r="C111" i="8"/>
  <c r="C103" i="8"/>
  <c r="C95" i="8"/>
  <c r="C87" i="8"/>
  <c r="C79" i="8"/>
  <c r="C71" i="8"/>
  <c r="C63" i="8"/>
  <c r="C55" i="8"/>
  <c r="C47" i="8"/>
  <c r="C39" i="8"/>
  <c r="C23" i="8"/>
  <c r="C15" i="8"/>
  <c r="D111" i="8"/>
  <c r="E111" i="8" s="1"/>
  <c r="F126" i="8"/>
  <c r="G127" i="8" s="1"/>
  <c r="F62" i="8"/>
  <c r="G63" i="8" s="1"/>
  <c r="E74" i="8"/>
  <c r="E66" i="8"/>
  <c r="E123" i="8"/>
  <c r="E115" i="8"/>
  <c r="E107" i="8"/>
  <c r="E99" i="8"/>
  <c r="E91" i="8"/>
  <c r="E83" i="8"/>
  <c r="C126" i="8"/>
  <c r="C118" i="8"/>
  <c r="C110" i="8"/>
  <c r="C102" i="8"/>
  <c r="C94" i="8"/>
  <c r="C86" i="8"/>
  <c r="C78" i="8"/>
  <c r="C70" i="8"/>
  <c r="C62" i="8"/>
  <c r="C54" i="8"/>
  <c r="C46" i="8"/>
  <c r="C38" i="8"/>
  <c r="C30" i="8"/>
  <c r="C22" i="8"/>
  <c r="C14" i="8"/>
  <c r="D103" i="8"/>
  <c r="E103" i="8" s="1"/>
  <c r="F118" i="8"/>
  <c r="G119" i="8" s="1"/>
  <c r="F54" i="8"/>
  <c r="G55" i="8" s="1"/>
  <c r="D101" i="8"/>
  <c r="E101" i="8" s="1"/>
  <c r="F101" i="8"/>
  <c r="D93" i="8"/>
  <c r="E93" i="8" s="1"/>
  <c r="F93" i="8"/>
  <c r="D85" i="8"/>
  <c r="E85" i="8" s="1"/>
  <c r="F85" i="8"/>
  <c r="D77" i="8"/>
  <c r="E77" i="8" s="1"/>
  <c r="F77" i="8"/>
  <c r="D5" i="10"/>
  <c r="C128" i="8"/>
  <c r="D55" i="8"/>
  <c r="E55" i="8" s="1"/>
  <c r="D8" i="8"/>
  <c r="E9" i="8" s="1"/>
  <c r="F8" i="8"/>
  <c r="G8" i="8" s="1"/>
  <c r="D16" i="8"/>
  <c r="F16" i="8"/>
  <c r="G16" i="8" s="1"/>
  <c r="E75" i="8"/>
  <c r="E67" i="8"/>
  <c r="E124" i="8"/>
  <c r="E116" i="8"/>
  <c r="E108" i="8"/>
  <c r="E100" i="8"/>
  <c r="E92" i="8"/>
  <c r="E84" i="8"/>
  <c r="E76" i="8"/>
  <c r="D47" i="8"/>
  <c r="E47" i="8" s="1"/>
  <c r="D17" i="8"/>
  <c r="F17" i="8"/>
  <c r="D39" i="8"/>
  <c r="E39" i="8" s="1"/>
  <c r="D68" i="8"/>
  <c r="E68" i="8" s="1"/>
  <c r="F68" i="8"/>
  <c r="D31" i="8"/>
  <c r="E31" i="8" s="1"/>
  <c r="D109" i="8"/>
  <c r="E109" i="8" s="1"/>
  <c r="F109" i="8"/>
  <c r="E11" i="8"/>
  <c r="E19" i="8"/>
  <c r="E27" i="8"/>
  <c r="E35" i="8"/>
  <c r="E43" i="8"/>
  <c r="E51" i="8"/>
  <c r="E59" i="8"/>
  <c r="E121" i="8"/>
  <c r="E113" i="8"/>
  <c r="E105" i="8"/>
  <c r="E97" i="8"/>
  <c r="E89" i="8"/>
  <c r="E81" i="8"/>
  <c r="D23" i="8"/>
  <c r="E23" i="8" s="1"/>
  <c r="D125" i="8"/>
  <c r="E125" i="8" s="1"/>
  <c r="F125" i="8"/>
  <c r="D7" i="10"/>
  <c r="D117" i="8"/>
  <c r="E117" i="8" s="1"/>
  <c r="F117" i="8"/>
  <c r="E14" i="8"/>
  <c r="E22" i="8"/>
  <c r="E30" i="8"/>
  <c r="E38" i="8"/>
  <c r="E46" i="8"/>
  <c r="E54" i="8"/>
  <c r="E62" i="8"/>
  <c r="C121" i="8"/>
  <c r="C113" i="8"/>
  <c r="C105" i="8"/>
  <c r="C97" i="8"/>
  <c r="C89" i="8"/>
  <c r="C81" i="8"/>
  <c r="C73" i="8"/>
  <c r="C65" i="8"/>
  <c r="C57" i="8"/>
  <c r="C49" i="8"/>
  <c r="C41" i="8"/>
  <c r="C33" i="8"/>
  <c r="C25" i="8"/>
  <c r="C17" i="8"/>
  <c r="C9" i="8"/>
  <c r="D63" i="8"/>
  <c r="E63" i="8" s="1"/>
  <c r="F69" i="8"/>
  <c r="F61" i="8"/>
  <c r="F53" i="8"/>
  <c r="F45" i="8"/>
  <c r="G46" i="8" s="1"/>
  <c r="F37" i="8"/>
  <c r="F29" i="8"/>
  <c r="F21" i="8"/>
  <c r="F13" i="8"/>
  <c r="F124" i="8"/>
  <c r="F116" i="8"/>
  <c r="F108" i="8"/>
  <c r="F100" i="8"/>
  <c r="F92" i="8"/>
  <c r="F84" i="8"/>
  <c r="F76" i="8"/>
  <c r="F60" i="8"/>
  <c r="F52" i="8"/>
  <c r="F44" i="8"/>
  <c r="F36" i="8"/>
  <c r="F28" i="8"/>
  <c r="F20" i="8"/>
  <c r="F12" i="8"/>
  <c r="F123" i="8"/>
  <c r="F115" i="8"/>
  <c r="F107" i="8"/>
  <c r="F99" i="8"/>
  <c r="F91" i="8"/>
  <c r="F83" i="8"/>
  <c r="F75" i="8"/>
  <c r="F67" i="8"/>
  <c r="F59" i="8"/>
  <c r="F51" i="8"/>
  <c r="F43" i="8"/>
  <c r="F35" i="8"/>
  <c r="F27" i="8"/>
  <c r="F19" i="8"/>
  <c r="F11" i="8"/>
  <c r="F122" i="8"/>
  <c r="F114" i="8"/>
  <c r="F106" i="8"/>
  <c r="F98" i="8"/>
  <c r="F90" i="8"/>
  <c r="F82" i="8"/>
  <c r="F74" i="8"/>
  <c r="F66" i="8"/>
  <c r="F58" i="8"/>
  <c r="F50" i="8"/>
  <c r="F42" i="8"/>
  <c r="F34" i="8"/>
  <c r="F26" i="8"/>
  <c r="F18" i="8"/>
  <c r="F10" i="8"/>
  <c r="F121" i="8"/>
  <c r="F113" i="8"/>
  <c r="F105" i="8"/>
  <c r="F97" i="8"/>
  <c r="F89" i="8"/>
  <c r="F81" i="8"/>
  <c r="F73" i="8"/>
  <c r="F65" i="8"/>
  <c r="F57" i="8"/>
  <c r="F49" i="8"/>
  <c r="F41" i="8"/>
  <c r="F33" i="8"/>
  <c r="F25" i="8"/>
  <c r="F9" i="8"/>
  <c r="F128" i="8"/>
  <c r="F120" i="8"/>
  <c r="G120" i="8" s="1"/>
  <c r="F112" i="8"/>
  <c r="G112" i="8" s="1"/>
  <c r="F104" i="8"/>
  <c r="G104" i="8" s="1"/>
  <c r="F96" i="8"/>
  <c r="G96" i="8" s="1"/>
  <c r="F88" i="8"/>
  <c r="G88" i="8" s="1"/>
  <c r="F80" i="8"/>
  <c r="G80" i="8" s="1"/>
  <c r="F72" i="8"/>
  <c r="G72" i="8" s="1"/>
  <c r="F64" i="8"/>
  <c r="G64" i="8" s="1"/>
  <c r="F56" i="8"/>
  <c r="G56" i="8" s="1"/>
  <c r="F48" i="8"/>
  <c r="G48" i="8" s="1"/>
  <c r="F40" i="8"/>
  <c r="G40" i="8" s="1"/>
  <c r="F32" i="8"/>
  <c r="G32" i="8" s="1"/>
  <c r="F24" i="8"/>
  <c r="G24" i="8" s="1"/>
  <c r="I14" i="4"/>
  <c r="C14" i="17"/>
  <c r="C15" i="17" s="1"/>
  <c r="C16" i="17" s="1"/>
  <c r="C20" i="17" s="1"/>
  <c r="B14" i="17"/>
  <c r="B15" i="17" s="1"/>
  <c r="B16" i="17" s="1"/>
  <c r="B19" i="17" s="1"/>
  <c r="D14" i="17"/>
  <c r="K47" i="4"/>
  <c r="E49" i="4"/>
  <c r="D49" i="4"/>
  <c r="F74" i="4"/>
  <c r="G74" i="4"/>
  <c r="B74" i="4"/>
  <c r="L74" i="4"/>
  <c r="E74" i="4"/>
  <c r="K74" i="4"/>
  <c r="D74" i="4"/>
  <c r="J74" i="4"/>
  <c r="B34" i="5"/>
  <c r="N44" i="17"/>
  <c r="N45" i="17"/>
  <c r="E11" i="17"/>
  <c r="E10" i="17"/>
  <c r="E7" i="17"/>
  <c r="E8" i="17"/>
  <c r="E9" i="17"/>
  <c r="E6" i="17"/>
  <c r="D29" i="5"/>
  <c r="M986" i="5"/>
  <c r="M127" i="5"/>
  <c r="M211" i="5"/>
  <c r="M1026" i="5"/>
  <c r="M117" i="5"/>
  <c r="M946" i="5"/>
  <c r="M1054" i="5"/>
  <c r="M832" i="5"/>
  <c r="M1002" i="5"/>
  <c r="M328" i="5"/>
  <c r="M179" i="5"/>
  <c r="M1051" i="5"/>
  <c r="M1043" i="5"/>
  <c r="M1006" i="5"/>
  <c r="M998" i="5"/>
  <c r="M932" i="5"/>
  <c r="M900" i="5"/>
  <c r="M892" i="5"/>
  <c r="M876" i="5"/>
  <c r="M868" i="5"/>
  <c r="M860" i="5"/>
  <c r="M844" i="5"/>
  <c r="M812" i="5"/>
  <c r="M668" i="5"/>
  <c r="M612" i="5"/>
  <c r="M604" i="5"/>
  <c r="M598" i="5"/>
  <c r="M1056" i="5"/>
  <c r="M960" i="5"/>
  <c r="M499" i="5"/>
  <c r="M284" i="5"/>
  <c r="M270" i="5"/>
  <c r="M376" i="5"/>
  <c r="M336" i="5"/>
  <c r="M972" i="5"/>
  <c r="M866" i="5"/>
  <c r="M280" i="5"/>
  <c r="M264" i="5"/>
  <c r="M160" i="5"/>
  <c r="M141" i="5"/>
  <c r="M102" i="5"/>
  <c r="M67" i="5"/>
  <c r="M325" i="5"/>
  <c r="M213" i="5"/>
  <c r="M199" i="5"/>
  <c r="M175" i="5"/>
  <c r="M165" i="5"/>
  <c r="M151" i="5"/>
  <c r="M793" i="5"/>
  <c r="M625" i="5"/>
  <c r="M157" i="5"/>
  <c r="M1058" i="5"/>
  <c r="M862" i="5"/>
  <c r="M822" i="5"/>
  <c r="M758" i="5"/>
  <c r="M566" i="5"/>
  <c r="M518" i="5"/>
  <c r="M459" i="5"/>
  <c r="M64" i="5"/>
  <c r="M547" i="5"/>
  <c r="M531" i="5"/>
  <c r="M491" i="5"/>
  <c r="M483" i="5"/>
  <c r="M451" i="5"/>
  <c r="M435" i="5"/>
  <c r="M403" i="5"/>
  <c r="M395" i="5"/>
  <c r="M368" i="5"/>
  <c r="M294" i="5"/>
  <c r="M281" i="5"/>
  <c r="M273" i="5"/>
  <c r="M262" i="5"/>
  <c r="M233" i="5"/>
  <c r="M225" i="5"/>
  <c r="M185" i="5"/>
  <c r="M135" i="5"/>
  <c r="M957" i="5"/>
  <c r="M944" i="5"/>
  <c r="M928" i="5"/>
  <c r="M920" i="5"/>
  <c r="M898" i="5"/>
  <c r="M880" i="5"/>
  <c r="M872" i="5"/>
  <c r="M858" i="5"/>
  <c r="M840" i="5"/>
  <c r="M656" i="5"/>
  <c r="M648" i="5"/>
  <c r="M624" i="5"/>
  <c r="M562" i="5"/>
  <c r="M554" i="5"/>
  <c r="M384" i="5"/>
  <c r="M291" i="5"/>
  <c r="M177" i="5"/>
  <c r="M161" i="5"/>
  <c r="M119" i="5"/>
  <c r="M114" i="5"/>
  <c r="M90" i="5"/>
  <c r="M649" i="5"/>
  <c r="M239" i="5"/>
  <c r="M215" i="5"/>
  <c r="M120" i="5"/>
  <c r="M1016" i="5"/>
  <c r="M1000" i="5"/>
  <c r="M886" i="5"/>
  <c r="M854" i="5"/>
  <c r="M806" i="5"/>
  <c r="M774" i="5"/>
  <c r="M374" i="5"/>
  <c r="M342" i="5"/>
  <c r="M305" i="5"/>
  <c r="M260" i="5"/>
  <c r="M162" i="5"/>
  <c r="M1013" i="5"/>
  <c r="M989" i="5"/>
  <c r="M419" i="5"/>
  <c r="M1057" i="5"/>
  <c r="M970" i="5"/>
  <c r="M962" i="5"/>
  <c r="M933" i="5"/>
  <c r="M909" i="5"/>
  <c r="M829" i="5"/>
  <c r="M717" i="5"/>
  <c r="M709" i="5"/>
  <c r="M701" i="5"/>
  <c r="M693" i="5"/>
  <c r="M685" i="5"/>
  <c r="M677" i="5"/>
  <c r="M573" i="5"/>
  <c r="M509" i="5"/>
  <c r="M445" i="5"/>
  <c r="M437" i="5"/>
  <c r="M304" i="5"/>
  <c r="M296" i="5"/>
  <c r="M272" i="5"/>
  <c r="M237" i="5"/>
  <c r="M235" i="5"/>
  <c r="M129" i="5"/>
  <c r="M124" i="5"/>
  <c r="M79" i="5"/>
  <c r="M71" i="5"/>
  <c r="M974" i="5"/>
  <c r="M934" i="5"/>
  <c r="M902" i="5"/>
  <c r="M641" i="5"/>
  <c r="M609" i="5"/>
  <c r="M550" i="5"/>
  <c r="M271" i="5"/>
  <c r="M125" i="5"/>
  <c r="M99" i="5"/>
  <c r="M918" i="5"/>
  <c r="M798" i="5"/>
  <c r="M750" i="5"/>
  <c r="M726" i="5"/>
  <c r="M582" i="5"/>
  <c r="M526" i="5"/>
  <c r="M358" i="5"/>
  <c r="M217" i="5"/>
  <c r="M167" i="5"/>
  <c r="M130" i="5"/>
  <c r="M1042" i="5"/>
  <c r="M968" i="5"/>
  <c r="M896" i="5"/>
  <c r="M856" i="5"/>
  <c r="M1046" i="5"/>
  <c r="M1020" i="5"/>
  <c r="M988" i="5"/>
  <c r="M956" i="5"/>
  <c r="M938" i="5"/>
  <c r="M906" i="5"/>
  <c r="M890" i="5"/>
  <c r="M882" i="5"/>
  <c r="M852" i="5"/>
  <c r="M834" i="5"/>
  <c r="M810" i="5"/>
  <c r="M796" i="5"/>
  <c r="M778" i="5"/>
  <c r="M762" i="5"/>
  <c r="M748" i="5"/>
  <c r="M730" i="5"/>
  <c r="M580" i="5"/>
  <c r="M274" i="5"/>
  <c r="M189" i="5"/>
  <c r="M1040" i="5"/>
  <c r="M1032" i="5"/>
  <c r="M1030" i="5"/>
  <c r="M1014" i="5"/>
  <c r="M948" i="5"/>
  <c r="M935" i="5"/>
  <c r="M924" i="5"/>
  <c r="M855" i="5"/>
  <c r="M764" i="5"/>
  <c r="M591" i="5"/>
  <c r="M583" i="5"/>
  <c r="M551" i="5"/>
  <c r="M455" i="5"/>
  <c r="M417" i="5"/>
  <c r="M335" i="5"/>
  <c r="M316" i="5"/>
  <c r="M221" i="5"/>
  <c r="M197" i="5"/>
  <c r="M173" i="5"/>
  <c r="M163" i="5"/>
  <c r="M131" i="5"/>
  <c r="M81" i="5"/>
  <c r="M65" i="5"/>
  <c r="M69" i="5"/>
  <c r="M1034" i="5"/>
  <c r="M1024" i="5"/>
  <c r="M1018" i="5"/>
  <c r="M964" i="5"/>
  <c r="M954" i="5"/>
  <c r="M936" i="5"/>
  <c r="M888" i="5"/>
  <c r="M870" i="5"/>
  <c r="M836" i="5"/>
  <c r="M826" i="5"/>
  <c r="M751" i="5"/>
  <c r="M735" i="5"/>
  <c r="M727" i="5"/>
  <c r="M722" i="5"/>
  <c r="M661" i="5"/>
  <c r="M658" i="5"/>
  <c r="M645" i="5"/>
  <c r="M642" i="5"/>
  <c r="M629" i="5"/>
  <c r="M602" i="5"/>
  <c r="M556" i="5"/>
  <c r="M529" i="5"/>
  <c r="M493" i="5"/>
  <c r="M480" i="5"/>
  <c r="M443" i="5"/>
  <c r="M383" i="5"/>
  <c r="M373" i="5"/>
  <c r="M360" i="5"/>
  <c r="M355" i="5"/>
  <c r="M347" i="5"/>
  <c r="M339" i="5"/>
  <c r="M310" i="5"/>
  <c r="M297" i="5"/>
  <c r="M249" i="5"/>
  <c r="M241" i="5"/>
  <c r="M238" i="5"/>
  <c r="M231" i="5"/>
  <c r="M229" i="5"/>
  <c r="M223" i="5"/>
  <c r="M76" i="5"/>
  <c r="M73" i="5"/>
  <c r="M66" i="5"/>
  <c r="M63" i="5"/>
  <c r="M926" i="5"/>
  <c r="M921" i="5"/>
  <c r="M831" i="5"/>
  <c r="M766" i="5"/>
  <c r="M740" i="5"/>
  <c r="M628" i="5"/>
  <c r="M561" i="5"/>
  <c r="M503" i="5"/>
  <c r="M485" i="5"/>
  <c r="M477" i="5"/>
  <c r="M469" i="5"/>
  <c r="M385" i="5"/>
  <c r="M380" i="5"/>
  <c r="M375" i="5"/>
  <c r="M365" i="5"/>
  <c r="M315" i="5"/>
  <c r="M248" i="5"/>
  <c r="M240" i="5"/>
  <c r="M193" i="5"/>
  <c r="M112" i="5"/>
  <c r="M101" i="5"/>
  <c r="M83" i="5"/>
  <c r="M1001" i="5"/>
  <c r="M971" i="5"/>
  <c r="M959" i="5"/>
  <c r="M1008" i="5"/>
  <c r="M990" i="5"/>
  <c r="M978" i="5"/>
  <c r="M784" i="5"/>
  <c r="M745" i="5"/>
  <c r="M742" i="5"/>
  <c r="M581" i="5"/>
  <c r="M576" i="5"/>
  <c r="M568" i="5"/>
  <c r="M563" i="5"/>
  <c r="M558" i="5"/>
  <c r="M539" i="5"/>
  <c r="M521" i="5"/>
  <c r="M414" i="5"/>
  <c r="M406" i="5"/>
  <c r="M398" i="5"/>
  <c r="M377" i="5"/>
  <c r="M362" i="5"/>
  <c r="M357" i="5"/>
  <c r="M349" i="5"/>
  <c r="M320" i="5"/>
  <c r="M314" i="5"/>
  <c r="M306" i="5"/>
  <c r="M259" i="5"/>
  <c r="M208" i="5"/>
  <c r="M103" i="5"/>
  <c r="M88" i="5"/>
  <c r="M1038" i="5"/>
  <c r="M930" i="5"/>
  <c r="M884" i="5"/>
  <c r="M874" i="5"/>
  <c r="M638" i="5"/>
  <c r="M578" i="5"/>
  <c r="M481" i="5"/>
  <c r="M356" i="5"/>
  <c r="M207" i="5"/>
  <c r="M106" i="5"/>
  <c r="M93" i="5"/>
  <c r="M77" i="5"/>
  <c r="M1022" i="5"/>
  <c r="M1004" i="5"/>
  <c r="M985" i="5"/>
  <c r="M982" i="5"/>
  <c r="M952" i="5"/>
  <c r="M904" i="5"/>
  <c r="M869" i="5"/>
  <c r="M837" i="5"/>
  <c r="M662" i="5"/>
  <c r="M630" i="5"/>
  <c r="M622" i="5"/>
  <c r="M614" i="5"/>
  <c r="M564" i="5"/>
  <c r="M449" i="5"/>
  <c r="M447" i="5"/>
  <c r="M340" i="5"/>
  <c r="M290" i="5"/>
  <c r="M252" i="5"/>
  <c r="M244" i="5"/>
  <c r="M209" i="5"/>
  <c r="M171" i="5"/>
  <c r="M133" i="5"/>
  <c r="M126" i="5"/>
  <c r="M100" i="5"/>
  <c r="M1048" i="5"/>
  <c r="M992" i="5"/>
  <c r="M984" i="5"/>
  <c r="M976" i="5"/>
  <c r="M947" i="5"/>
  <c r="M927" i="5"/>
  <c r="M912" i="5"/>
  <c r="M899" i="5"/>
  <c r="M879" i="5"/>
  <c r="M790" i="5"/>
  <c r="M788" i="5"/>
  <c r="M780" i="5"/>
  <c r="M672" i="5"/>
  <c r="M635" i="5"/>
  <c r="M619" i="5"/>
  <c r="M541" i="5"/>
  <c r="M533" i="5"/>
  <c r="M478" i="5"/>
  <c r="M470" i="5"/>
  <c r="M326" i="5"/>
  <c r="M318" i="5"/>
  <c r="M308" i="5"/>
  <c r="M303" i="5"/>
  <c r="M227" i="5"/>
  <c r="M219" i="5"/>
  <c r="M118" i="5"/>
  <c r="M115" i="5"/>
  <c r="M92" i="5"/>
  <c r="M89" i="5"/>
  <c r="M1010" i="5"/>
  <c r="M973" i="5"/>
  <c r="M966" i="5"/>
  <c r="M914" i="5"/>
  <c r="M1045" i="5"/>
  <c r="M1017" i="5"/>
  <c r="M975" i="5"/>
  <c r="M916" i="5"/>
  <c r="M1050" i="5"/>
  <c r="M987" i="5"/>
  <c r="M980" i="5"/>
  <c r="M848" i="5"/>
  <c r="M843" i="5"/>
  <c r="M838" i="5"/>
  <c r="M732" i="5"/>
  <c r="M695" i="5"/>
  <c r="M687" i="5"/>
  <c r="M679" i="5"/>
  <c r="M671" i="5"/>
  <c r="M1059" i="5"/>
  <c r="M1029" i="5"/>
  <c r="M994" i="5"/>
  <c r="M940" i="5"/>
  <c r="M1052" i="5"/>
  <c r="M555" i="5"/>
  <c r="M601" i="5"/>
  <c r="M596" i="5"/>
  <c r="M588" i="5"/>
  <c r="M570" i="5"/>
  <c r="M1036" i="5"/>
  <c r="M1003" i="5"/>
  <c r="M996" i="5"/>
  <c r="M775" i="5"/>
  <c r="M770" i="5"/>
  <c r="M760" i="5"/>
  <c r="M808" i="5"/>
  <c r="M585" i="5"/>
  <c r="M565" i="5"/>
  <c r="M552" i="5"/>
  <c r="M387" i="5"/>
  <c r="M354" i="5"/>
  <c r="M885" i="5"/>
  <c r="M835" i="5"/>
  <c r="M744" i="5"/>
  <c r="M713" i="5"/>
  <c r="M705" i="5"/>
  <c r="M697" i="5"/>
  <c r="M689" i="5"/>
  <c r="M681" i="5"/>
  <c r="M673" i="5"/>
  <c r="M611" i="5"/>
  <c r="M603" i="5"/>
  <c r="M557" i="5"/>
  <c r="M515" i="5"/>
  <c r="M364" i="5"/>
  <c r="M251" i="5"/>
  <c r="M145" i="5"/>
  <c r="M137" i="5"/>
  <c r="M132" i="5"/>
  <c r="M1049" i="5"/>
  <c r="M1035" i="5"/>
  <c r="M1028" i="5"/>
  <c r="M1021" i="5"/>
  <c r="M1007" i="5"/>
  <c r="M993" i="5"/>
  <c r="M979" i="5"/>
  <c r="M958" i="5"/>
  <c r="M951" i="5"/>
  <c r="M908" i="5"/>
  <c r="M901" i="5"/>
  <c r="M894" i="5"/>
  <c r="M887" i="5"/>
  <c r="M873" i="5"/>
  <c r="M861" i="5"/>
  <c r="M847" i="5"/>
  <c r="M842" i="5"/>
  <c r="M830" i="5"/>
  <c r="M792" i="5"/>
  <c r="M759" i="5"/>
  <c r="M754" i="5"/>
  <c r="M746" i="5"/>
  <c r="M736" i="5"/>
  <c r="M670" i="5"/>
  <c r="M631" i="5"/>
  <c r="M626" i="5"/>
  <c r="M621" i="5"/>
  <c r="M618" i="5"/>
  <c r="M608" i="5"/>
  <c r="M595" i="5"/>
  <c r="M587" i="5"/>
  <c r="M577" i="5"/>
  <c r="M512" i="5"/>
  <c r="M507" i="5"/>
  <c r="M494" i="5"/>
  <c r="M429" i="5"/>
  <c r="M421" i="5"/>
  <c r="M413" i="5"/>
  <c r="M405" i="5"/>
  <c r="M317" i="5"/>
  <c r="M923" i="5"/>
  <c r="M883" i="5"/>
  <c r="M857" i="5"/>
  <c r="M850" i="5"/>
  <c r="M828" i="5"/>
  <c r="M752" i="5"/>
  <c r="M663" i="5"/>
  <c r="M606" i="5"/>
  <c r="M367" i="5"/>
  <c r="M1019" i="5"/>
  <c r="M991" i="5"/>
  <c r="M963" i="5"/>
  <c r="M911" i="5"/>
  <c r="M878" i="5"/>
  <c r="M1044" i="5"/>
  <c r="M1023" i="5"/>
  <c r="M1009" i="5"/>
  <c r="M965" i="5"/>
  <c r="M941" i="5"/>
  <c r="M922" i="5"/>
  <c r="M915" i="5"/>
  <c r="M903" i="5"/>
  <c r="M889" i="5"/>
  <c r="M875" i="5"/>
  <c r="M807" i="5"/>
  <c r="M802" i="5"/>
  <c r="M636" i="5"/>
  <c r="M613" i="5"/>
  <c r="M605" i="5"/>
  <c r="M525" i="5"/>
  <c r="M517" i="5"/>
  <c r="M462" i="5"/>
  <c r="M439" i="5"/>
  <c r="M268" i="5"/>
  <c r="M263" i="5"/>
  <c r="M253" i="5"/>
  <c r="M245" i="5"/>
  <c r="M205" i="5"/>
  <c r="M195" i="5"/>
  <c r="M147" i="5"/>
  <c r="M68" i="5"/>
  <c r="M1025" i="5"/>
  <c r="M1011" i="5"/>
  <c r="M981" i="5"/>
  <c r="M955" i="5"/>
  <c r="M917" i="5"/>
  <c r="M910" i="5"/>
  <c r="M905" i="5"/>
  <c r="M891" i="5"/>
  <c r="M877" i="5"/>
  <c r="M863" i="5"/>
  <c r="M814" i="5"/>
  <c r="M794" i="5"/>
  <c r="M743" i="5"/>
  <c r="M738" i="5"/>
  <c r="M667" i="5"/>
  <c r="M659" i="5"/>
  <c r="M646" i="5"/>
  <c r="M633" i="5"/>
  <c r="M623" i="5"/>
  <c r="M329" i="5"/>
  <c r="M319" i="5"/>
  <c r="M288" i="5"/>
  <c r="M283" i="5"/>
  <c r="M278" i="5"/>
  <c r="M265" i="5"/>
  <c r="M159" i="5"/>
  <c r="M78" i="5"/>
  <c r="M949" i="5"/>
  <c r="M942" i="5"/>
  <c r="M823" i="5"/>
  <c r="M818" i="5"/>
  <c r="M767" i="5"/>
  <c r="M593" i="5"/>
  <c r="M575" i="5"/>
  <c r="M542" i="5"/>
  <c r="M505" i="5"/>
  <c r="M487" i="5"/>
  <c r="M479" i="5"/>
  <c r="M359" i="5"/>
  <c r="M346" i="5"/>
  <c r="M307" i="5"/>
  <c r="M1033" i="5"/>
  <c r="M1012" i="5"/>
  <c r="M1005" i="5"/>
  <c r="M977" i="5"/>
  <c r="M937" i="5"/>
  <c r="M871" i="5"/>
  <c r="M864" i="5"/>
  <c r="M859" i="5"/>
  <c r="M800" i="5"/>
  <c r="M721" i="5"/>
  <c r="M616" i="5"/>
  <c r="M502" i="5"/>
  <c r="M392" i="5"/>
  <c r="M379" i="5"/>
  <c r="M369" i="5"/>
  <c r="M312" i="5"/>
  <c r="M1037" i="5"/>
  <c r="M995" i="5"/>
  <c r="M1060" i="5"/>
  <c r="M1053" i="5"/>
  <c r="M1039" i="5"/>
  <c r="M1055" i="5"/>
  <c r="M1041" i="5"/>
  <c r="M1027" i="5"/>
  <c r="M997" i="5"/>
  <c r="M969" i="5"/>
  <c r="M950" i="5"/>
  <c r="M943" i="5"/>
  <c r="M931" i="5"/>
  <c r="M919" i="5"/>
  <c r="M907" i="5"/>
  <c r="M893" i="5"/>
  <c r="M851" i="5"/>
  <c r="M841" i="5"/>
  <c r="M768" i="5"/>
  <c r="M714" i="5"/>
  <c r="M706" i="5"/>
  <c r="M698" i="5"/>
  <c r="M690" i="5"/>
  <c r="M682" i="5"/>
  <c r="M674" i="5"/>
  <c r="M669" i="5"/>
  <c r="M651" i="5"/>
  <c r="M643" i="5"/>
  <c r="M620" i="5"/>
  <c r="M553" i="5"/>
  <c r="M545" i="5"/>
  <c r="M527" i="5"/>
  <c r="M464" i="5"/>
  <c r="M446" i="5"/>
  <c r="M441" i="5"/>
  <c r="M149" i="5"/>
  <c r="M461" i="5"/>
  <c r="M302" i="5"/>
  <c r="M300" i="5"/>
  <c r="M295" i="5"/>
  <c r="M292" i="5"/>
  <c r="M181" i="5"/>
  <c r="M176" i="5"/>
  <c r="M111" i="5"/>
  <c r="M82" i="5"/>
  <c r="M224" i="5"/>
  <c r="M113" i="5"/>
  <c r="M95" i="5"/>
  <c r="M243" i="5"/>
  <c r="M104" i="5"/>
  <c r="M97" i="5"/>
  <c r="M1047" i="5"/>
  <c r="M1031" i="5"/>
  <c r="M1015" i="5"/>
  <c r="M999" i="5"/>
  <c r="M983" i="5"/>
  <c r="M967" i="5"/>
  <c r="M953" i="5"/>
  <c r="M939" i="5"/>
  <c r="M925" i="5"/>
  <c r="M895" i="5"/>
  <c r="M867" i="5"/>
  <c r="M853" i="5"/>
  <c r="M846" i="5"/>
  <c r="M839" i="5"/>
  <c r="M825" i="5"/>
  <c r="M820" i="5"/>
  <c r="M782" i="5"/>
  <c r="M777" i="5"/>
  <c r="M772" i="5"/>
  <c r="M734" i="5"/>
  <c r="M729" i="5"/>
  <c r="M724" i="5"/>
  <c r="M660" i="5"/>
  <c r="M653" i="5"/>
  <c r="M650" i="5"/>
  <c r="M640" i="5"/>
  <c r="M615" i="5"/>
  <c r="M610" i="5"/>
  <c r="M600" i="5"/>
  <c r="M590" i="5"/>
  <c r="M572" i="5"/>
  <c r="M567" i="5"/>
  <c r="M560" i="5"/>
  <c r="M475" i="5"/>
  <c r="M467" i="5"/>
  <c r="M454" i="5"/>
  <c r="M433" i="5"/>
  <c r="M431" i="5"/>
  <c r="M423" i="5"/>
  <c r="M337" i="5"/>
  <c r="M332" i="5"/>
  <c r="M327" i="5"/>
  <c r="M324" i="5"/>
  <c r="M261" i="5"/>
  <c r="M258" i="5"/>
  <c r="M256" i="5"/>
  <c r="M250" i="5"/>
  <c r="M242" i="5"/>
  <c r="M183" i="5"/>
  <c r="M128" i="5"/>
  <c r="M123" i="5"/>
  <c r="M116" i="5"/>
  <c r="M109" i="5"/>
  <c r="M845" i="5"/>
  <c r="M824" i="5"/>
  <c r="M809" i="5"/>
  <c r="M804" i="5"/>
  <c r="M728" i="5"/>
  <c r="M712" i="5"/>
  <c r="M704" i="5"/>
  <c r="M696" i="5"/>
  <c r="M691" i="5"/>
  <c r="M688" i="5"/>
  <c r="M683" i="5"/>
  <c r="M675" i="5"/>
  <c r="M665" i="5"/>
  <c r="M657" i="5"/>
  <c r="M654" i="5"/>
  <c r="M639" i="5"/>
  <c r="M634" i="5"/>
  <c r="M627" i="5"/>
  <c r="M599" i="5"/>
  <c r="M594" i="5"/>
  <c r="M589" i="5"/>
  <c r="M586" i="5"/>
  <c r="M579" i="5"/>
  <c r="M571" i="5"/>
  <c r="M510" i="5"/>
  <c r="M497" i="5"/>
  <c r="M495" i="5"/>
  <c r="M372" i="5"/>
  <c r="M352" i="5"/>
  <c r="M344" i="5"/>
  <c r="M293" i="5"/>
  <c r="M285" i="5"/>
  <c r="M282" i="5"/>
  <c r="M275" i="5"/>
  <c r="M212" i="5"/>
  <c r="M87" i="5"/>
  <c r="M85" i="5"/>
  <c r="M80" i="5"/>
  <c r="M70" i="5"/>
  <c r="M438" i="5"/>
  <c r="M415" i="5"/>
  <c r="M407" i="5"/>
  <c r="M394" i="5"/>
  <c r="M389" i="5"/>
  <c r="M361" i="5"/>
  <c r="M351" i="5"/>
  <c r="M341" i="5"/>
  <c r="M331" i="5"/>
  <c r="M321" i="5"/>
  <c r="M309" i="5"/>
  <c r="M287" i="5"/>
  <c r="M153" i="5"/>
  <c r="M144" i="5"/>
  <c r="M134" i="5"/>
  <c r="M94" i="5"/>
  <c r="M84" i="5"/>
  <c r="M72" i="5"/>
  <c r="M519" i="5"/>
  <c r="M471" i="5"/>
  <c r="M453" i="5"/>
  <c r="M448" i="5"/>
  <c r="M430" i="5"/>
  <c r="M427" i="5"/>
  <c r="M401" i="5"/>
  <c r="M399" i="5"/>
  <c r="M386" i="5"/>
  <c r="M381" i="5"/>
  <c r="M371" i="5"/>
  <c r="M348" i="5"/>
  <c r="M343" i="5"/>
  <c r="M330" i="5"/>
  <c r="M311" i="5"/>
  <c r="M299" i="5"/>
  <c r="M289" i="5"/>
  <c r="M286" i="5"/>
  <c r="M277" i="5"/>
  <c r="M267" i="5"/>
  <c r="M255" i="5"/>
  <c r="M247" i="5"/>
  <c r="M232" i="5"/>
  <c r="M201" i="5"/>
  <c r="M192" i="5"/>
  <c r="M146" i="5"/>
  <c r="M143" i="5"/>
  <c r="M136" i="5"/>
  <c r="M122" i="5"/>
  <c r="M108" i="5"/>
  <c r="M105" i="5"/>
  <c r="M96" i="5"/>
  <c r="M91" i="5"/>
  <c r="M86" i="5"/>
  <c r="M961" i="5"/>
  <c r="M945" i="5"/>
  <c r="M929" i="5"/>
  <c r="M913" i="5"/>
  <c r="M897" i="5"/>
  <c r="M881" i="5"/>
  <c r="M865" i="5"/>
  <c r="M849" i="5"/>
  <c r="M833" i="5"/>
  <c r="M816" i="5"/>
  <c r="M791" i="5"/>
  <c r="M786" i="5"/>
  <c r="M776" i="5"/>
  <c r="M761" i="5"/>
  <c r="M756" i="5"/>
  <c r="M655" i="5"/>
  <c r="M652" i="5"/>
  <c r="M647" i="5"/>
  <c r="M644" i="5"/>
  <c r="M637" i="5"/>
  <c r="M632" i="5"/>
  <c r="M617" i="5"/>
  <c r="M607" i="5"/>
  <c r="M597" i="5"/>
  <c r="M592" i="5"/>
  <c r="M584" i="5"/>
  <c r="M574" i="5"/>
  <c r="M569" i="5"/>
  <c r="M534" i="5"/>
  <c r="M513" i="5"/>
  <c r="M511" i="5"/>
  <c r="M501" i="5"/>
  <c r="M496" i="5"/>
  <c r="M486" i="5"/>
  <c r="M465" i="5"/>
  <c r="M463" i="5"/>
  <c r="M422" i="5"/>
  <c r="M411" i="5"/>
  <c r="M388" i="5"/>
  <c r="M378" i="5"/>
  <c r="M363" i="5"/>
  <c r="M353" i="5"/>
  <c r="M345" i="5"/>
  <c r="M333" i="5"/>
  <c r="M323" i="5"/>
  <c r="M313" i="5"/>
  <c r="M301" i="5"/>
  <c r="M298" i="5"/>
  <c r="M279" i="5"/>
  <c r="M276" i="5"/>
  <c r="M269" i="5"/>
  <c r="M266" i="5"/>
  <c r="M257" i="5"/>
  <c r="M254" i="5"/>
  <c r="M246" i="5"/>
  <c r="M234" i="5"/>
  <c r="M191" i="5"/>
  <c r="M110" i="5"/>
  <c r="M98" i="5"/>
  <c r="M74" i="5"/>
  <c r="M62" i="5"/>
  <c r="M559" i="5"/>
  <c r="M549" i="5"/>
  <c r="M544" i="5"/>
  <c r="M523" i="5"/>
  <c r="M390" i="5"/>
  <c r="M370" i="5"/>
  <c r="M322" i="5"/>
  <c r="M236" i="5"/>
  <c r="M203" i="5"/>
  <c r="M169" i="5"/>
  <c r="M121" i="5"/>
  <c r="M107" i="5"/>
  <c r="M827" i="5"/>
  <c r="M811" i="5"/>
  <c r="M795" i="5"/>
  <c r="M779" i="5"/>
  <c r="M763" i="5"/>
  <c r="M747" i="5"/>
  <c r="M731" i="5"/>
  <c r="M719" i="5"/>
  <c r="M711" i="5"/>
  <c r="M708" i="5"/>
  <c r="M703" i="5"/>
  <c r="M700" i="5"/>
  <c r="M692" i="5"/>
  <c r="M684" i="5"/>
  <c r="M676" i="5"/>
  <c r="M664" i="5"/>
  <c r="M781" i="5"/>
  <c r="M749" i="5"/>
  <c r="M733" i="5"/>
  <c r="M716" i="5"/>
  <c r="M815" i="5"/>
  <c r="M799" i="5"/>
  <c r="M783" i="5"/>
  <c r="M710" i="5"/>
  <c r="M702" i="5"/>
  <c r="M694" i="5"/>
  <c r="M686" i="5"/>
  <c r="M678" i="5"/>
  <c r="M666" i="5"/>
  <c r="M797" i="5"/>
  <c r="M765" i="5"/>
  <c r="M817" i="5"/>
  <c r="M801" i="5"/>
  <c r="M785" i="5"/>
  <c r="M769" i="5"/>
  <c r="M753" i="5"/>
  <c r="M737" i="5"/>
  <c r="M718" i="5"/>
  <c r="M813" i="5"/>
  <c r="M819" i="5"/>
  <c r="M803" i="5"/>
  <c r="M787" i="5"/>
  <c r="M771" i="5"/>
  <c r="M755" i="5"/>
  <c r="M739" i="5"/>
  <c r="M723" i="5"/>
  <c r="M715" i="5"/>
  <c r="M707" i="5"/>
  <c r="M699" i="5"/>
  <c r="M680" i="5"/>
  <c r="M821" i="5"/>
  <c r="M805" i="5"/>
  <c r="M789" i="5"/>
  <c r="M773" i="5"/>
  <c r="M757" i="5"/>
  <c r="M741" i="5"/>
  <c r="M725" i="5"/>
  <c r="M720" i="5"/>
  <c r="M543" i="5"/>
  <c r="M528" i="5"/>
  <c r="M473" i="5"/>
  <c r="M400" i="5"/>
  <c r="M425" i="5"/>
  <c r="M535" i="5"/>
  <c r="M432" i="5"/>
  <c r="M457" i="5"/>
  <c r="M537" i="5"/>
  <c r="M409" i="5"/>
  <c r="M489" i="5"/>
  <c r="M416" i="5"/>
  <c r="M546" i="5"/>
  <c r="M530" i="5"/>
  <c r="M514" i="5"/>
  <c r="M498" i="5"/>
  <c r="M482" i="5"/>
  <c r="M466" i="5"/>
  <c r="M450" i="5"/>
  <c r="M434" i="5"/>
  <c r="M418" i="5"/>
  <c r="M402" i="5"/>
  <c r="M366" i="5"/>
  <c r="M334" i="5"/>
  <c r="M548" i="5"/>
  <c r="M532" i="5"/>
  <c r="M516" i="5"/>
  <c r="M500" i="5"/>
  <c r="M484" i="5"/>
  <c r="M468" i="5"/>
  <c r="M452" i="5"/>
  <c r="M436" i="5"/>
  <c r="M420" i="5"/>
  <c r="M404" i="5"/>
  <c r="M536" i="5"/>
  <c r="M520" i="5"/>
  <c r="M504" i="5"/>
  <c r="M488" i="5"/>
  <c r="M472" i="5"/>
  <c r="M456" i="5"/>
  <c r="M440" i="5"/>
  <c r="M424" i="5"/>
  <c r="M408" i="5"/>
  <c r="M382" i="5"/>
  <c r="M338" i="5"/>
  <c r="M538" i="5"/>
  <c r="M522" i="5"/>
  <c r="M506" i="5"/>
  <c r="M490" i="5"/>
  <c r="M474" i="5"/>
  <c r="M458" i="5"/>
  <c r="M442" i="5"/>
  <c r="M426" i="5"/>
  <c r="M410" i="5"/>
  <c r="M396" i="5"/>
  <c r="M391" i="5"/>
  <c r="M350" i="5"/>
  <c r="M540" i="5"/>
  <c r="M524" i="5"/>
  <c r="M508" i="5"/>
  <c r="M492" i="5"/>
  <c r="M476" i="5"/>
  <c r="M460" i="5"/>
  <c r="M444" i="5"/>
  <c r="M428" i="5"/>
  <c r="M412" i="5"/>
  <c r="M393" i="5"/>
  <c r="M75" i="5"/>
  <c r="M139" i="5"/>
  <c r="M397" i="5"/>
  <c r="M187" i="5"/>
  <c r="M228" i="5"/>
  <c r="M155" i="5"/>
  <c r="M226" i="5"/>
  <c r="M210" i="5"/>
  <c r="M194" i="5"/>
  <c r="M178" i="5"/>
  <c r="M196" i="5"/>
  <c r="M180" i="5"/>
  <c r="M164" i="5"/>
  <c r="M148" i="5"/>
  <c r="M230" i="5"/>
  <c r="M214" i="5"/>
  <c r="M198" i="5"/>
  <c r="M182" i="5"/>
  <c r="M166" i="5"/>
  <c r="M150" i="5"/>
  <c r="M216" i="5"/>
  <c r="M200" i="5"/>
  <c r="M184" i="5"/>
  <c r="M168" i="5"/>
  <c r="M152" i="5"/>
  <c r="M218" i="5"/>
  <c r="M202" i="5"/>
  <c r="M186" i="5"/>
  <c r="M170" i="5"/>
  <c r="M154" i="5"/>
  <c r="M138" i="5"/>
  <c r="M220" i="5"/>
  <c r="M204" i="5"/>
  <c r="M188" i="5"/>
  <c r="M172" i="5"/>
  <c r="M156" i="5"/>
  <c r="M140" i="5"/>
  <c r="M222" i="5"/>
  <c r="M206" i="5"/>
  <c r="M190" i="5"/>
  <c r="M174" i="5"/>
  <c r="M158" i="5"/>
  <c r="M142" i="5"/>
  <c r="M61" i="5"/>
  <c r="D30" i="5"/>
  <c r="G29" i="5"/>
  <c r="F29" i="5"/>
  <c r="G30" i="5"/>
  <c r="F30" i="5"/>
  <c r="E30" i="5"/>
  <c r="B9" i="5"/>
  <c r="B19" i="5"/>
  <c r="B20" i="5" s="1"/>
  <c r="C28" i="5"/>
  <c r="D28" i="5" s="1"/>
  <c r="B12" i="5"/>
  <c r="C29" i="5"/>
  <c r="H47" i="4"/>
  <c r="D48" i="4"/>
  <c r="H12" i="4"/>
  <c r="C47" i="4"/>
  <c r="B47" i="4"/>
  <c r="G47" i="4"/>
  <c r="K12" i="4"/>
  <c r="C12" i="4"/>
  <c r="B49" i="4"/>
  <c r="G19" i="4"/>
  <c r="D47" i="4"/>
  <c r="H48" i="4"/>
  <c r="B19" i="4"/>
  <c r="L8" i="4"/>
  <c r="B17" i="7" s="1"/>
  <c r="G14" i="4"/>
  <c r="L48" i="4"/>
  <c r="L47" i="4"/>
  <c r="K8" i="4"/>
  <c r="C8" i="4"/>
  <c r="G12" i="4"/>
  <c r="J12" i="4"/>
  <c r="H49" i="4"/>
  <c r="J8" i="4"/>
  <c r="F12" i="4"/>
  <c r="B12" i="4"/>
  <c r="E12" i="4"/>
  <c r="K19" i="4"/>
  <c r="C19" i="4"/>
  <c r="B48" i="4"/>
  <c r="E48" i="4"/>
  <c r="L12" i="4"/>
  <c r="D12" i="4"/>
  <c r="I48" i="4"/>
  <c r="F47" i="4"/>
  <c r="E47" i="4"/>
  <c r="I47" i="4"/>
  <c r="K48" i="4"/>
  <c r="K49" i="4"/>
  <c r="J49" i="4"/>
  <c r="J48" i="4"/>
  <c r="C48" i="4"/>
  <c r="C49" i="4"/>
  <c r="J47" i="4"/>
  <c r="L49" i="4"/>
  <c r="G48" i="4"/>
  <c r="G49" i="4"/>
  <c r="F48" i="4"/>
  <c r="F49" i="4"/>
  <c r="I49" i="4"/>
  <c r="D8" i="4"/>
  <c r="H19" i="4"/>
  <c r="E19" i="4"/>
  <c r="B14" i="4"/>
  <c r="E14" i="4"/>
  <c r="L19" i="4"/>
  <c r="B18" i="7" s="1"/>
  <c r="D19" i="4"/>
  <c r="G8" i="4"/>
  <c r="L14" i="4"/>
  <c r="D14" i="4"/>
  <c r="K14" i="4"/>
  <c r="C14" i="4"/>
  <c r="J19" i="4"/>
  <c r="H14" i="4"/>
  <c r="E8" i="4"/>
  <c r="I12" i="4"/>
  <c r="J14" i="4"/>
  <c r="I19" i="4"/>
  <c r="F14" i="4"/>
  <c r="F8" i="4"/>
  <c r="F19" i="4"/>
  <c r="I8" i="4"/>
  <c r="H8" i="4"/>
  <c r="B8" i="4"/>
  <c r="E95" i="8" l="1"/>
  <c r="E104" i="8"/>
  <c r="E14" i="17"/>
  <c r="B36" i="5"/>
  <c r="B15" i="7"/>
  <c r="E128" i="8"/>
  <c r="G86" i="8"/>
  <c r="G62" i="8"/>
  <c r="E110" i="8"/>
  <c r="G102" i="8"/>
  <c r="G18" i="8"/>
  <c r="G126" i="8"/>
  <c r="E17" i="8"/>
  <c r="G69" i="8"/>
  <c r="G100" i="8"/>
  <c r="G37" i="8"/>
  <c r="G78" i="8"/>
  <c r="G118" i="8"/>
  <c r="E94" i="8"/>
  <c r="E56" i="8"/>
  <c r="E48" i="8"/>
  <c r="E79" i="8"/>
  <c r="E120" i="8"/>
  <c r="E69" i="8"/>
  <c r="E102" i="8"/>
  <c r="E71" i="8"/>
  <c r="E8" i="8"/>
  <c r="E126" i="8"/>
  <c r="E118" i="8"/>
  <c r="E87" i="8"/>
  <c r="E16" i="8"/>
  <c r="G17" i="8"/>
  <c r="E40" i="8"/>
  <c r="G116" i="8"/>
  <c r="G53" i="8"/>
  <c r="E112" i="8"/>
  <c r="G10" i="8"/>
  <c r="G84" i="8"/>
  <c r="G21" i="8"/>
  <c r="G109" i="8"/>
  <c r="G92" i="8"/>
  <c r="G29" i="8"/>
  <c r="G57" i="8"/>
  <c r="G121" i="8"/>
  <c r="G58" i="8"/>
  <c r="G122" i="8"/>
  <c r="G59" i="8"/>
  <c r="G123" i="8"/>
  <c r="G60" i="8"/>
  <c r="G70" i="8"/>
  <c r="D6" i="10"/>
  <c r="G128" i="8"/>
  <c r="G65" i="8"/>
  <c r="G66" i="8"/>
  <c r="G67" i="8"/>
  <c r="G76" i="8"/>
  <c r="G13" i="8"/>
  <c r="E64" i="8"/>
  <c r="G85" i="8"/>
  <c r="G73" i="8"/>
  <c r="G74" i="8"/>
  <c r="G11" i="8"/>
  <c r="G75" i="8"/>
  <c r="G12" i="8"/>
  <c r="G54" i="8"/>
  <c r="G9" i="8"/>
  <c r="G81" i="8"/>
  <c r="G82" i="8"/>
  <c r="G19" i="8"/>
  <c r="G83" i="8"/>
  <c r="G20" i="8"/>
  <c r="G68" i="8"/>
  <c r="G93" i="8"/>
  <c r="G25" i="8"/>
  <c r="G89" i="8"/>
  <c r="G26" i="8"/>
  <c r="G90" i="8"/>
  <c r="G27" i="8"/>
  <c r="G91" i="8"/>
  <c r="G28" i="8"/>
  <c r="E78" i="8"/>
  <c r="G117" i="8"/>
  <c r="G14" i="8"/>
  <c r="G30" i="8"/>
  <c r="E32" i="8"/>
  <c r="G33" i="8"/>
  <c r="G97" i="8"/>
  <c r="G34" i="8"/>
  <c r="G98" i="8"/>
  <c r="G35" i="8"/>
  <c r="G99" i="8"/>
  <c r="G36" i="8"/>
  <c r="G108" i="8"/>
  <c r="G45" i="8"/>
  <c r="E86" i="8"/>
  <c r="G125" i="8"/>
  <c r="G94" i="8"/>
  <c r="G38" i="8"/>
  <c r="G110" i="8"/>
  <c r="E24" i="8"/>
  <c r="G101" i="8"/>
  <c r="G41" i="8"/>
  <c r="G105" i="8"/>
  <c r="G42" i="8"/>
  <c r="G106" i="8"/>
  <c r="G43" i="8"/>
  <c r="G107" i="8"/>
  <c r="G44" i="8"/>
  <c r="G49" i="8"/>
  <c r="G113" i="8"/>
  <c r="G50" i="8"/>
  <c r="G114" i="8"/>
  <c r="G51" i="8"/>
  <c r="G115" i="8"/>
  <c r="G52" i="8"/>
  <c r="G124" i="8"/>
  <c r="G61" i="8"/>
  <c r="G22" i="8"/>
  <c r="G77" i="8"/>
  <c r="E18" i="8"/>
  <c r="D15" i="17"/>
  <c r="E15" i="17" s="1"/>
  <c r="A75" i="17"/>
  <c r="A85" i="17"/>
  <c r="A55" i="17"/>
  <c r="A65" i="17"/>
  <c r="C19" i="17"/>
  <c r="C30" i="17" s="1"/>
  <c r="B30" i="17"/>
  <c r="A45" i="17"/>
  <c r="B20" i="17"/>
  <c r="B21" i="17" s="1"/>
  <c r="B22" i="17"/>
  <c r="C21" i="17"/>
  <c r="D31" i="5"/>
  <c r="D33" i="5" s="1"/>
  <c r="B66" i="5"/>
  <c r="B65" i="5"/>
  <c r="B63" i="5"/>
  <c r="B64" i="5"/>
  <c r="B62" i="5"/>
  <c r="B21" i="5"/>
  <c r="B24" i="5" s="1"/>
  <c r="E28" i="5"/>
  <c r="D32" i="5"/>
  <c r="C31" i="5"/>
  <c r="C33" i="5" s="1"/>
  <c r="C32" i="5"/>
  <c r="K8" i="8" l="1"/>
  <c r="F6" i="10" s="1"/>
  <c r="J13" i="8"/>
  <c r="K13" i="8"/>
  <c r="J8" i="8"/>
  <c r="B28" i="7" s="1"/>
  <c r="D16" i="17"/>
  <c r="D20" i="17" s="1"/>
  <c r="B7" i="10"/>
  <c r="C7" i="10" s="1"/>
  <c r="C35" i="5"/>
  <c r="D35" i="5" s="1"/>
  <c r="E35" i="5" s="1"/>
  <c r="F35" i="5" s="1"/>
  <c r="G35" i="5" s="1"/>
  <c r="B25" i="7"/>
  <c r="B6" i="10"/>
  <c r="B5" i="10"/>
  <c r="C5" i="10"/>
  <c r="C22" i="17"/>
  <c r="D34" i="5"/>
  <c r="C34" i="5"/>
  <c r="E32" i="5"/>
  <c r="F28" i="5"/>
  <c r="E31" i="5"/>
  <c r="E33" i="5" s="1"/>
  <c r="F5" i="10" l="1"/>
  <c r="E16" i="17"/>
  <c r="D19" i="17"/>
  <c r="D30" i="17" s="1"/>
  <c r="C36" i="5"/>
  <c r="D36" i="5"/>
  <c r="C6" i="10"/>
  <c r="D21" i="17"/>
  <c r="E21" i="17" s="1"/>
  <c r="E20" i="17"/>
  <c r="E34" i="5"/>
  <c r="E36" i="5" s="1"/>
  <c r="F31" i="5"/>
  <c r="F33" i="5" s="1"/>
  <c r="F32" i="5"/>
  <c r="G28" i="5"/>
  <c r="E19" i="17" l="1"/>
  <c r="D22" i="17"/>
  <c r="E22" i="17" s="1"/>
  <c r="G32" i="5"/>
  <c r="G31" i="5"/>
  <c r="F34" i="5"/>
  <c r="F36" i="5" s="1"/>
  <c r="G33" i="5" l="1"/>
  <c r="G34" i="5" s="1"/>
  <c r="G36" i="5" l="1"/>
  <c r="B50" i="5" s="1"/>
  <c r="B43" i="5"/>
  <c r="B45" i="5" s="1"/>
  <c r="B46" i="5" s="1"/>
  <c r="B51" i="5" s="1"/>
  <c r="B52" i="5" l="1"/>
  <c r="B55" i="5" l="1"/>
  <c r="B57" i="5" s="1"/>
  <c r="B21" i="7" s="1"/>
  <c r="B24" i="7"/>
  <c r="H54" i="5" l="1"/>
  <c r="G54" i="5" s="1"/>
  <c r="G56" i="5"/>
  <c r="B23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A4ABD9-7943-4A27-924B-FCAC399E6423}" keepAlive="1" name="Query - aapl_stock_prices" description="Connection to the 'aapl_stock_prices' query in the workbook." type="5" refreshedVersion="8" background="1" saveData="1">
    <dbPr connection="Provider=Microsoft.Mashup.OleDb.1;Data Source=$Workbook$;Location=aapl_stock_prices;Extended Properties=" command="SELECT * FROM [aapl_stock_prices]"/>
  </connection>
  <connection id="2" xr16:uid="{AC8A7261-5F84-4751-93A1-068DC5726C9A}" keepAlive="1" name="Query - GSPC" description="Connection to the 'GSPC' query in the workbook." type="5" refreshedVersion="8" background="1" saveData="1">
    <dbPr connection="Provider=Microsoft.Mashup.OleDb.1;Data Source=$Workbook$;Location=GSPC;Extended Properties=" command="SELECT * FROM [GSPC]"/>
  </connection>
  <connection id="3" xr16:uid="{04B0004F-DF20-4E5B-81E2-3B33B7652F8D}" keepAlive="1" name="Query - MSFT Historical Data" description="Connection to the 'MSFT Historical Data' query in the workbook." type="5" refreshedVersion="8" background="1" saveData="1">
    <dbPr connection="Provider=Microsoft.Mashup.OleDb.1;Data Source=$Workbook$;Location=MSFT Historical Data;Extended Properties=" command="SELECT * FROM [MSFT Historical Data]"/>
  </connection>
  <connection id="4" xr16:uid="{F1D60B7D-9C7C-423C-AE10-685D917B29E9}" keepAlive="1" name="Query - Sheet1" description="Connection to the 'Sheet1' query in the workbook." type="5" refreshedVersion="8" background="1" saveData="1">
    <dbPr connection="Provider=Microsoft.Mashup.OleDb.1;Data Source=$Workbook$;Location=Sheet1;Extended Properties=" command="SELECT * FROM [Sheet1]"/>
  </connection>
  <connection id="5" xr16:uid="{9BD0236B-D891-4D10-A01E-912C8720459B}" keepAlive="1" name="Query - Sheet1 (2)" description="Connection to the 'Sheet1 (2)' query in the workbook." type="5" refreshedVersion="8" background="1" saveData="1">
    <dbPr connection="Provider=Microsoft.Mashup.OleDb.1;Data Source=$Workbook$;Location=Sheet1 (2);Extended Properties=" command="SELECT * FROM [Sheet1 (2)]"/>
  </connection>
  <connection id="6" xr16:uid="{6D93C9FF-3590-4274-81AD-1DB1847266FC}" keepAlive="1" name="Query - Sheet1 (3)" description="Connection to the 'Sheet1 (3)' query in the workbook." type="5" refreshedVersion="8" background="1" saveData="1">
    <dbPr connection="Provider=Microsoft.Mashup.OleDb.1;Data Source=$Workbook$;Location=Sheet1 (3);Extended Properties=" command="SELECT * FROM [Sheet1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<sst xmlns="http://schemas.openxmlformats.org/spreadsheetml/2006/main" count="928" uniqueCount="388">
  <si>
    <t>Apple Income Statement</t>
  </si>
  <si>
    <t>USD Billions</t>
  </si>
  <si>
    <t>Fiscal Year End: September 30</t>
  </si>
  <si>
    <t>Metric</t>
  </si>
  <si>
    <t>Revenue</t>
  </si>
  <si>
    <t>Cost of Revenue</t>
  </si>
  <si>
    <t>Gross Profit</t>
  </si>
  <si>
    <t>Gross Margin %</t>
  </si>
  <si>
    <t>R&amp;D Expense</t>
  </si>
  <si>
    <t>SG&amp;A Expense</t>
  </si>
  <si>
    <t>Total Operating Expenses</t>
  </si>
  <si>
    <t>Operating Income</t>
  </si>
  <si>
    <t>Operating Margin %</t>
  </si>
  <si>
    <t>Pretax Income</t>
  </si>
  <si>
    <t>Tax Provision</t>
  </si>
  <si>
    <t>Net Margin %</t>
  </si>
  <si>
    <t>Net Income</t>
  </si>
  <si>
    <t>EPS Basic</t>
  </si>
  <si>
    <t>EPS Diluted</t>
  </si>
  <si>
    <t>Fiscal_Year</t>
  </si>
  <si>
    <t>COGS</t>
  </si>
  <si>
    <t>Gross_Profit</t>
  </si>
  <si>
    <t>RD_Expense</t>
  </si>
  <si>
    <t>SGA_Expense</t>
  </si>
  <si>
    <t>Operating_Income</t>
  </si>
  <si>
    <t>Pretax_Income</t>
  </si>
  <si>
    <t>Tax_provision</t>
  </si>
  <si>
    <t>Net_Income</t>
  </si>
  <si>
    <t>EPS_Basic</t>
  </si>
  <si>
    <t>Cash</t>
  </si>
  <si>
    <t>Receivables</t>
  </si>
  <si>
    <t>Inventory</t>
  </si>
  <si>
    <t>Current_Assets</t>
  </si>
  <si>
    <t>PPE</t>
  </si>
  <si>
    <t>LT_Investments</t>
  </si>
  <si>
    <t>Total_Assets</t>
  </si>
  <si>
    <t>Current_Liabilities</t>
  </si>
  <si>
    <t>LT_Debt</t>
  </si>
  <si>
    <t>LT_Liabilities</t>
  </si>
  <si>
    <t>Total_Liabilities</t>
  </si>
  <si>
    <t>Shareholder_Equity</t>
  </si>
  <si>
    <t>DA</t>
  </si>
  <si>
    <t>Non_Cash_Items</t>
  </si>
  <si>
    <t>Chg_Receivable</t>
  </si>
  <si>
    <t>Chg_Inventory</t>
  </si>
  <si>
    <t>Chg_Payable</t>
  </si>
  <si>
    <t>Operating_CF</t>
  </si>
  <si>
    <t>CapEx</t>
  </si>
  <si>
    <t>Share_Repurchases</t>
  </si>
  <si>
    <t>Dividends</t>
  </si>
  <si>
    <t>Financing_CF</t>
  </si>
  <si>
    <t>Net_Cash_Flow</t>
  </si>
  <si>
    <t>SBC</t>
  </si>
  <si>
    <t>ASSETS</t>
  </si>
  <si>
    <t>Current Assets</t>
  </si>
  <si>
    <t>PP&amp;E</t>
  </si>
  <si>
    <t>Long Term Investments</t>
  </si>
  <si>
    <t>Total Assets</t>
  </si>
  <si>
    <t>Liabilities</t>
  </si>
  <si>
    <t>Current Liabilities</t>
  </si>
  <si>
    <t>Long Term Debt</t>
  </si>
  <si>
    <t>Long Term Liabilities</t>
  </si>
  <si>
    <t>Total Liabilities</t>
  </si>
  <si>
    <t>EQUITY</t>
  </si>
  <si>
    <t>Shareholder Equity</t>
  </si>
  <si>
    <t>KEY RATIOS</t>
  </si>
  <si>
    <t>Current Ratio</t>
  </si>
  <si>
    <t>Debt to Equity</t>
  </si>
  <si>
    <t>Debt to Assets</t>
  </si>
  <si>
    <t>Apple INC Balance Sheet</t>
  </si>
  <si>
    <t>APPLE INC. — CASH FLOW STATEMENT</t>
  </si>
  <si>
    <t>OPERATING ACTIVITIES</t>
  </si>
  <si>
    <t>Depreciation &amp; Amortization</t>
  </si>
  <si>
    <t>Stock Based Compensation</t>
  </si>
  <si>
    <t>Non Cash Items</t>
  </si>
  <si>
    <t>Change in Receivables</t>
  </si>
  <si>
    <t>Change in Inventory</t>
  </si>
  <si>
    <t>Change in Payables</t>
  </si>
  <si>
    <t>Operating Cash Flow</t>
  </si>
  <si>
    <t>INVESTING ACTIVITIES</t>
  </si>
  <si>
    <t>Capital Expenditures</t>
  </si>
  <si>
    <t>FINANCING ACTIVITIES</t>
  </si>
  <si>
    <t>Share Repurchases</t>
  </si>
  <si>
    <t>Dividends Paid</t>
  </si>
  <si>
    <t>Financing Cash Flow</t>
  </si>
  <si>
    <t>KEY METRICS</t>
  </si>
  <si>
    <t>Free Cash Flow</t>
  </si>
  <si>
    <t>Net Cash Flow</t>
  </si>
  <si>
    <t>COMPANY IDENTITY</t>
  </si>
  <si>
    <t>Company Name</t>
  </si>
  <si>
    <t>Apple Inc.</t>
  </si>
  <si>
    <t>Ticker</t>
  </si>
  <si>
    <t>AAPL</t>
  </si>
  <si>
    <t>Sector</t>
  </si>
  <si>
    <t>Technology</t>
  </si>
  <si>
    <t>Currency</t>
  </si>
  <si>
    <t>USD</t>
  </si>
  <si>
    <t>Fiscal Year End</t>
  </si>
  <si>
    <t>September 30</t>
  </si>
  <si>
    <t>SCENARIO SELECTOR</t>
  </si>
  <si>
    <t>Active Scenario</t>
  </si>
  <si>
    <t>BASE ASSUMPTIONS</t>
  </si>
  <si>
    <t>BULL ASSUMPTIONS</t>
  </si>
  <si>
    <t>Revenue Growth Rate</t>
  </si>
  <si>
    <t>Tax Rate</t>
  </si>
  <si>
    <t>CapEx % of Revenue</t>
  </si>
  <si>
    <t>Projection Years</t>
  </si>
  <si>
    <t>BEAR ASSUMPTIONS</t>
  </si>
  <si>
    <t>VALUATION INPUTS</t>
  </si>
  <si>
    <t>WACC</t>
  </si>
  <si>
    <t>Terminal Growth Rate</t>
  </si>
  <si>
    <t>Risk Free Rate</t>
  </si>
  <si>
    <t>Equity Risk Premium</t>
  </si>
  <si>
    <t>Beta</t>
  </si>
  <si>
    <t>Current Stock Price</t>
  </si>
  <si>
    <t>Shares Outstanding</t>
  </si>
  <si>
    <t>NEXUS — Valuation Engine</t>
  </si>
  <si>
    <t>Apple Inc. (AAPL) — DCF Valuation &amp; Monte Carlo Simulation</t>
  </si>
  <si>
    <t>Currency: USD Billions</t>
  </si>
  <si>
    <t>WACC INPUTS</t>
  </si>
  <si>
    <t>Cost of Equity</t>
  </si>
  <si>
    <t>Pre-Tax Cost of Debt</t>
  </si>
  <si>
    <t>After-Tax Cost of Debt</t>
  </si>
  <si>
    <t>CAPITAL STRUCTURE</t>
  </si>
  <si>
    <t>Shares Outstanding (Billions)</t>
  </si>
  <si>
    <t>Market Cap</t>
  </si>
  <si>
    <t>Total Capital</t>
  </si>
  <si>
    <t>Equity Weight</t>
  </si>
  <si>
    <t>Debt Weight</t>
  </si>
  <si>
    <t>WACC CALCULATION</t>
  </si>
  <si>
    <t>Calculated WACC</t>
  </si>
  <si>
    <t>DCF PROJECTIONS</t>
  </si>
  <si>
    <t>Revenue Growth %</t>
  </si>
  <si>
    <t>EBITDA Margin %</t>
  </si>
  <si>
    <t>EBITDA</t>
  </si>
  <si>
    <t>Less CapEx</t>
  </si>
  <si>
    <t>Less Tax</t>
  </si>
  <si>
    <t>Discount Factor</t>
  </si>
  <si>
    <t>Present Value of FCF</t>
  </si>
  <si>
    <t>TERMINAL VALUE</t>
  </si>
  <si>
    <t>Terminal Year FCF</t>
  </si>
  <si>
    <t>Terminal Value</t>
  </si>
  <si>
    <t>PV of Terminal Value</t>
  </si>
  <si>
    <t>VALUATION SUMMARY</t>
  </si>
  <si>
    <t>Sum of PV of FCFs</t>
  </si>
  <si>
    <t>Enterprise Value</t>
  </si>
  <si>
    <t>Less Total Debt</t>
  </si>
  <si>
    <t>Plus Cash</t>
  </si>
  <si>
    <t>Equity Value</t>
  </si>
  <si>
    <t>Fair Value Per Share</t>
  </si>
  <si>
    <t>MONTE CARLO SIMULATION</t>
  </si>
  <si>
    <t>Number of Simulations</t>
  </si>
  <si>
    <t>Min Fair Value</t>
  </si>
  <si>
    <t>Max Fair Value</t>
  </si>
  <si>
    <t>Mean Fair Value</t>
  </si>
  <si>
    <t>Standard Deviation</t>
  </si>
  <si>
    <t>Probability Value &gt; Current Price</t>
  </si>
  <si>
    <t>Total Debt(~LT Debt)</t>
  </si>
  <si>
    <t>ACTIVE SCENARIO OUTPUT</t>
  </si>
  <si>
    <t>Active Revenue Growth</t>
  </si>
  <si>
    <t>Active Gross Margin</t>
  </si>
  <si>
    <t>Active Operating Margin</t>
  </si>
  <si>
    <t>Active Net Margin</t>
  </si>
  <si>
    <t>Active Tax Rate</t>
  </si>
  <si>
    <t>Active CapEx %</t>
  </si>
  <si>
    <t>Bull</t>
  </si>
  <si>
    <t>Sim#</t>
  </si>
  <si>
    <t>Rand_Growth</t>
  </si>
  <si>
    <t>Rand_Margin</t>
  </si>
  <si>
    <t>Rand_WACC</t>
  </si>
  <si>
    <t>Fair_Value</t>
  </si>
  <si>
    <t>Date</t>
  </si>
  <si>
    <t>Close</t>
  </si>
  <si>
    <t>Start of Month</t>
  </si>
  <si>
    <t>Monthly_Close</t>
  </si>
  <si>
    <t>NEXUS — Portfolio Tracker</t>
  </si>
  <si>
    <t>Apple Inc. vs S&amp;P 500 vs Microsoft</t>
  </si>
  <si>
    <t>Monthly Returns Analysis 2015-2026</t>
  </si>
  <si>
    <t>MONTHLY RETURNS</t>
  </si>
  <si>
    <t>AAPL Price</t>
  </si>
  <si>
    <t>AAPL Return %</t>
  </si>
  <si>
    <t>SP500 Price</t>
  </si>
  <si>
    <t>SP500 Return %</t>
  </si>
  <si>
    <t>MSFT Price</t>
  </si>
  <si>
    <t>MSFT Return %</t>
  </si>
  <si>
    <t>PORTFOLIO STATISTICS</t>
  </si>
  <si>
    <t>AAPL vs S&amp;P 500 vs MSFT</t>
  </si>
  <si>
    <t>METRIC</t>
  </si>
  <si>
    <t>MSFT</t>
  </si>
  <si>
    <t>Volatility (Annual)</t>
  </si>
  <si>
    <t>Sharpe Ratio</t>
  </si>
  <si>
    <t>Average Monthly Return</t>
  </si>
  <si>
    <t>Cumulative Return</t>
  </si>
  <si>
    <t>Correlation vs S&amp;P 500</t>
  </si>
  <si>
    <t>NEXUS — Audit &amp; Documentation Trail</t>
  </si>
  <si>
    <t>Auto-logs every change made in the workbook</t>
  </si>
  <si>
    <t>Timestamp</t>
  </si>
  <si>
    <t>Sheet</t>
  </si>
  <si>
    <t>Cell</t>
  </si>
  <si>
    <t>Old Value</t>
  </si>
  <si>
    <t>New Value</t>
  </si>
  <si>
    <t>User</t>
  </si>
  <si>
    <t>Bear</t>
  </si>
  <si>
    <t>Base</t>
  </si>
  <si>
    <t>CONTROL_PANEL</t>
  </si>
  <si>
    <t>$B$9</t>
  </si>
  <si>
    <t>Administrator</t>
  </si>
  <si>
    <t>Interactive Asset Universe</t>
  </si>
  <si>
    <t>Company</t>
  </si>
  <si>
    <t>Volatility%</t>
  </si>
  <si>
    <t>Cumulative Return %</t>
  </si>
  <si>
    <t>Market Cap (B)</t>
  </si>
  <si>
    <t>S&amp;P 500</t>
  </si>
  <si>
    <t>MSFT Market Cap</t>
  </si>
  <si>
    <t xml:space="preserve">NEXUS — Galaxy </t>
  </si>
  <si>
    <t>1-</t>
  </si>
  <si>
    <t>SCENARIO_LAB</t>
  </si>
  <si>
    <t>NEXUS — Scenario &amp; Sensitivity Lab</t>
  </si>
  <si>
    <t>Apple Inc. (AAPL) — What-If Analysis</t>
  </si>
  <si>
    <t>BASE CASE</t>
  </si>
  <si>
    <t>BULL CASE</t>
  </si>
  <si>
    <t>BEAR CASE</t>
  </si>
  <si>
    <t>BULL vs BEAR</t>
  </si>
  <si>
    <t>ASSUMPTIONS</t>
  </si>
  <si>
    <t>Tax Rate %</t>
  </si>
  <si>
    <t>CapEx % Revenue</t>
  </si>
  <si>
    <t>PROJECTIONS (Year 1)</t>
  </si>
  <si>
    <t>VALUATION OUTPUT</t>
  </si>
  <si>
    <t>Upside/Downside %</t>
  </si>
  <si>
    <t>SENSITIVITY ANALYSIS — REVENUE GROWTH vs FAIR VALUE</t>
  </si>
  <si>
    <t>How Fair Value changes as Revenue Growth varies</t>
  </si>
  <si>
    <t>BASE</t>
  </si>
  <si>
    <t>BULL</t>
  </si>
  <si>
    <t>BEAR</t>
  </si>
  <si>
    <t>TWO WAY SENSITIVITY — REVENUE GROWTH vs WACC</t>
  </si>
  <si>
    <t>Fair Value Per Share (Base Scenario)</t>
  </si>
  <si>
    <t xml:space="preserve">TWO WAY SENSITIVITY — Revenue Growth vs EBITDA Margin </t>
  </si>
  <si>
    <t xml:space="preserve">TWO WAY SENSITIVITY — Revenue Growth vs Tax Rate </t>
  </si>
  <si>
    <t>TWO WAY SENSITIVITY — Revenue Growth vs CAPEx</t>
  </si>
  <si>
    <t>TWO WAY SENSITIVITY — Revenue Growth vs Terminal Growth</t>
  </si>
  <si>
    <t>Variable</t>
  </si>
  <si>
    <t>Base FV</t>
  </si>
  <si>
    <t>Downside %</t>
  </si>
  <si>
    <t>Upside %</t>
  </si>
  <si>
    <t>Low Case FV</t>
  </si>
  <si>
    <t>High Case FV</t>
  </si>
  <si>
    <t xml:space="preserve">Revenue </t>
  </si>
  <si>
    <t xml:space="preserve">Terminal </t>
  </si>
  <si>
    <t>Impact</t>
  </si>
  <si>
    <t xml:space="preserve">Impact of the Variables </t>
  </si>
  <si>
    <t>$H$40</t>
  </si>
  <si>
    <t xml:space="preserve">Visual Bar </t>
  </si>
  <si>
    <t>$H$8</t>
  </si>
  <si>
    <t>(Based on the actual calculated valuation from Valuation Engine)</t>
  </si>
  <si>
    <t>$H$9</t>
  </si>
  <si>
    <t>Scenario Impact</t>
  </si>
  <si>
    <t>$H$11</t>
  </si>
  <si>
    <t>$H$12</t>
  </si>
  <si>
    <t>$H$13</t>
  </si>
  <si>
    <t>$H$14</t>
  </si>
  <si>
    <t>Fair Value</t>
  </si>
  <si>
    <t>$I$11</t>
  </si>
  <si>
    <t>Current</t>
  </si>
  <si>
    <t>$J$11</t>
  </si>
  <si>
    <t>$K$11</t>
  </si>
  <si>
    <t>Position</t>
  </si>
  <si>
    <t>$L$11</t>
  </si>
  <si>
    <t>$J$12</t>
  </si>
  <si>
    <t>$I$12</t>
  </si>
  <si>
    <t>$I$13</t>
  </si>
  <si>
    <t>$I$14</t>
  </si>
  <si>
    <t>$K$12</t>
  </si>
  <si>
    <t>$N$12</t>
  </si>
  <si>
    <t>$N$13</t>
  </si>
  <si>
    <t>$L$12</t>
  </si>
  <si>
    <t>Remaining</t>
  </si>
  <si>
    <t>$M$11</t>
  </si>
  <si>
    <t>$M$12</t>
  </si>
  <si>
    <t>EPS _Diluted</t>
  </si>
  <si>
    <t>$N$14</t>
  </si>
  <si>
    <t>Bear ggg</t>
  </si>
  <si>
    <t>NEXUS — Automation Engine</t>
  </si>
  <si>
    <t>AUTOMATION_ENGINE</t>
  </si>
  <si>
    <t>$A$1</t>
  </si>
  <si>
    <t>One-Click Report Generator</t>
  </si>
  <si>
    <t>$A$2</t>
  </si>
  <si>
    <t>REPORT SETTINGS</t>
  </si>
  <si>
    <t>$A$4</t>
  </si>
  <si>
    <t>Report Title</t>
  </si>
  <si>
    <t>$A$5</t>
  </si>
  <si>
    <t>Report Date</t>
  </si>
  <si>
    <t>$A$6</t>
  </si>
  <si>
    <t>$B$6</t>
  </si>
  <si>
    <t>$B$5</t>
  </si>
  <si>
    <t>Apple Inc. — NEXUS Investment Report</t>
  </si>
  <si>
    <t>Prepared By</t>
  </si>
  <si>
    <t>$A$7</t>
  </si>
  <si>
    <t>$B$7</t>
  </si>
  <si>
    <t>NEXUS CEO</t>
  </si>
  <si>
    <t>$A$8</t>
  </si>
  <si>
    <t>$B$8</t>
  </si>
  <si>
    <t>C:\NEXUS_Reports\</t>
  </si>
  <si>
    <t>Save Location</t>
  </si>
  <si>
    <t>$A$9</t>
  </si>
  <si>
    <t>FINANCIAL SUMMARY</t>
  </si>
  <si>
    <t>$A$12</t>
  </si>
  <si>
    <t>Revenue (2025)</t>
  </si>
  <si>
    <t>$A$13</t>
  </si>
  <si>
    <t>Net Income (2025)</t>
  </si>
  <si>
    <t>$A$14</t>
  </si>
  <si>
    <t>$A$15</t>
  </si>
  <si>
    <t>EPS</t>
  </si>
  <si>
    <t>$A$16</t>
  </si>
  <si>
    <t>Gross Margin</t>
  </si>
  <si>
    <t>$A$17</t>
  </si>
  <si>
    <t>Net Margin</t>
  </si>
  <si>
    <t>$A$18</t>
  </si>
  <si>
    <t>$A$20</t>
  </si>
  <si>
    <t>$A$21</t>
  </si>
  <si>
    <t>$A$22</t>
  </si>
  <si>
    <t>Upside/Downside</t>
  </si>
  <si>
    <t>$A$23</t>
  </si>
  <si>
    <t>$A$24</t>
  </si>
  <si>
    <t>$A$25</t>
  </si>
  <si>
    <t>$A$27</t>
  </si>
  <si>
    <t>$A$28</t>
  </si>
  <si>
    <t>$A$29</t>
  </si>
  <si>
    <t>Volatility</t>
  </si>
  <si>
    <t>$A$30</t>
  </si>
  <si>
    <t>$A$31</t>
  </si>
  <si>
    <t>$B$13</t>
  </si>
  <si>
    <t>$B$14</t>
  </si>
  <si>
    <t>$B$15</t>
  </si>
  <si>
    <t>$B$16</t>
  </si>
  <si>
    <t>$B$17</t>
  </si>
  <si>
    <t>$B$18</t>
  </si>
  <si>
    <t>$B$21</t>
  </si>
  <si>
    <t>$B$22</t>
  </si>
  <si>
    <t>$B$23</t>
  </si>
  <si>
    <t>$B$24</t>
  </si>
  <si>
    <t>$B$25</t>
  </si>
  <si>
    <t>PORTFOLIO_TRACKER</t>
  </si>
  <si>
    <t>$J$9</t>
  </si>
  <si>
    <t>$J$8</t>
  </si>
  <si>
    <t>$C$7</t>
  </si>
  <si>
    <t>$E$7</t>
  </si>
  <si>
    <t>$G$7</t>
  </si>
  <si>
    <t>$J$10</t>
  </si>
  <si>
    <t>$J$13</t>
  </si>
  <si>
    <t>$K$8</t>
  </si>
  <si>
    <t>$K$9</t>
  </si>
  <si>
    <t>$K$10</t>
  </si>
  <si>
    <t>$K$13</t>
  </si>
  <si>
    <t>$B$28</t>
  </si>
  <si>
    <t>$B$29</t>
  </si>
  <si>
    <t>$B$30</t>
  </si>
  <si>
    <t>$B$31</t>
  </si>
  <si>
    <t>PDF Export</t>
  </si>
  <si>
    <t>N/A</t>
  </si>
  <si>
    <t>C:\NEXUS_Reports\NEXUS_Report_2026-06-05_11-47-41.pdf</t>
  </si>
  <si>
    <t>C:\NEXUS_Reports\NEXUS_Report_2026-06-05_11-48-45.pdf</t>
  </si>
  <si>
    <t>Data Refresh</t>
  </si>
  <si>
    <t>All connections refreshed</t>
  </si>
  <si>
    <t>C:\NEXUS_Reports\NEXUS_Report_2026-06-05_11-51-51.pdf</t>
  </si>
  <si>
    <t>C:\NEXUS_Reports\NEXUS_Report_2026-06-05_12-01-54.pdf</t>
  </si>
  <si>
    <t>C:\NEXUS_Reports\NEXUS_Report_2026-06-05_13-06-25.pdf</t>
  </si>
  <si>
    <t>C:\NEXUS_Reports\NEXUS_Report_2026-06-05_13-07-55.pdf</t>
  </si>
  <si>
    <t>C:\NEXUS_Reports\NEXUS_Report_2026-06-05_13-17-51.pdf</t>
  </si>
  <si>
    <t>C:\NEXUS_Reports\NEXUS_Report_2026-06-05_20-42-30.pdf</t>
  </si>
  <si>
    <t>C:\NEXUS_Reports\NEXUS_Report_2026-06-05_20-49-15.pdf</t>
  </si>
  <si>
    <t>DASHBOARD</t>
  </si>
  <si>
    <t>Year on year Growth</t>
  </si>
  <si>
    <t>FINANCIAL_STATEMENTS</t>
  </si>
  <si>
    <t>$N$4</t>
  </si>
  <si>
    <t>$N$5</t>
  </si>
  <si>
    <t>$N$18</t>
  </si>
  <si>
    <t>$N$74</t>
  </si>
  <si>
    <t>$N$21</t>
  </si>
  <si>
    <t>$N$8</t>
  </si>
  <si>
    <t>$N$19</t>
  </si>
  <si>
    <t>$X$23</t>
  </si>
  <si>
    <t>$X$22</t>
  </si>
  <si>
    <t>$P$21</t>
  </si>
  <si>
    <t>P/E</t>
  </si>
  <si>
    <t>$Q$21</t>
  </si>
  <si>
    <t>$N$10</t>
  </si>
  <si>
    <t>$K$42</t>
  </si>
  <si>
    <t>C:\NEXUS_Reports\NEXUS_Report_2026-06-06_19-39-40.pdf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</si>
</sst>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,##0.000&quot;B&quot;"/>
    <numFmt numFmtId="165" formatCode="0.000%"/>
    <numFmt numFmtId="166" formatCode="#,##0.000"/>
    <numFmt numFmtId="167" formatCode="mm\-yyyy"/>
    <numFmt numFmtId="168" formatCode="0.000"/>
    <numFmt numFmtId="169" formatCode="yyyy\-mm\-dd\ hh:mm:ss"/>
    <numFmt numFmtId="170" formatCode="General&quot;B&quot;"/>
    <numFmt numFmtId="171" formatCode="0.0%"/>
    <numFmt numFmtId="172" formatCode="0.00%\ &quot;pp&quot;"/>
    <numFmt numFmtId="173" formatCode="0.000%\ &quot;pp&quot;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FFFF"/>
      <name val="Calibri"/>
      <family val="2"/>
    </font>
    <font>
      <sz val="11"/>
      <color rgb="FF0000FF"/>
      <name val="Calibri"/>
      <family val="2"/>
    </font>
    <font>
      <sz val="11"/>
      <color rgb="FF0000FF"/>
      <name val="Calibri"/>
      <family val="2"/>
    </font>
    <font>
      <b/>
      <sz val="16"/>
      <name val="Calibri"/>
      <family val="2"/>
    </font>
    <font>
      <i/>
      <sz val="11"/>
      <name val="Calibri"/>
      <family val="2"/>
    </font>
    <font>
      <b/>
      <sz val="11"/>
      <color rgb="FFFFFFFF"/>
      <name val="Calibri"/>
      <family val="2"/>
    </font>
    <font>
      <b/>
      <sz val="16"/>
      <color theme="4" tint="-0.499984740745262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rgb="FF1F38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2" fontId="0" fillId="0" borderId="0" xfId="0" applyNumberFormat="1"/>
    <xf numFmtId="0" fontId="1" fillId="2" borderId="0" xfId="0" applyFont="1" applyFill="1"/>
    <xf numFmtId="0" fontId="9" fillId="3" borderId="0" xfId="0" applyFont="1" applyFill="1"/>
    <xf numFmtId="0" fontId="10" fillId="0" borderId="0" xfId="0" applyFont="1"/>
    <xf numFmtId="0" fontId="0" fillId="4" borderId="0" xfId="0" applyFill="1"/>
    <xf numFmtId="166" fontId="0" fillId="0" borderId="0" xfId="0" applyNumberForma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5" borderId="0" xfId="0" applyFont="1" applyFill="1"/>
    <xf numFmtId="10" fontId="0" fillId="0" borderId="0" xfId="0" applyNumberFormat="1"/>
    <xf numFmtId="0" fontId="8" fillId="6" borderId="0" xfId="0" applyFont="1" applyFill="1"/>
    <xf numFmtId="0" fontId="1" fillId="7" borderId="0" xfId="0" applyFont="1" applyFill="1"/>
    <xf numFmtId="0" fontId="0" fillId="0" borderId="0" xfId="0" applyAlignment="1">
      <alignment horizontal="center"/>
    </xf>
    <xf numFmtId="0" fontId="15" fillId="0" borderId="0" xfId="0" applyFont="1"/>
    <xf numFmtId="0" fontId="1" fillId="8" borderId="0" xfId="0" applyFont="1" applyFill="1"/>
    <xf numFmtId="167" fontId="0" fillId="0" borderId="0" xfId="0" applyNumberFormat="1"/>
    <xf numFmtId="0" fontId="16" fillId="0" borderId="0" xfId="0" applyFont="1"/>
    <xf numFmtId="168" fontId="0" fillId="0" borderId="0" xfId="0" applyNumberFormat="1"/>
    <xf numFmtId="0" fontId="17" fillId="0" borderId="0" xfId="0" applyFont="1"/>
    <xf numFmtId="169" fontId="0" fillId="0" borderId="0" xfId="0" applyNumberFormat="1"/>
    <xf numFmtId="0" fontId="0" fillId="9" borderId="0" xfId="0" applyFill="1"/>
    <xf numFmtId="0" fontId="18" fillId="9" borderId="0" xfId="0" applyFont="1" applyFill="1"/>
    <xf numFmtId="0" fontId="19" fillId="9" borderId="0" xfId="0" applyFont="1" applyFill="1"/>
    <xf numFmtId="0" fontId="8" fillId="9" borderId="0" xfId="0" applyFont="1" applyFill="1"/>
    <xf numFmtId="0" fontId="1" fillId="9" borderId="0" xfId="0" applyFont="1" applyFill="1"/>
    <xf numFmtId="0" fontId="0" fillId="10" borderId="0" xfId="0" applyFill="1"/>
    <xf numFmtId="10" fontId="8" fillId="9" borderId="0" xfId="0" applyNumberFormat="1" applyFont="1" applyFill="1"/>
    <xf numFmtId="170" fontId="8" fillId="9" borderId="0" xfId="0" applyNumberFormat="1" applyFont="1" applyFill="1"/>
    <xf numFmtId="0" fontId="0" fillId="0" borderId="0" xfId="0" applyFill="1"/>
    <xf numFmtId="0" fontId="1" fillId="11" borderId="0" xfId="0" applyFont="1" applyFill="1"/>
    <xf numFmtId="10" fontId="1" fillId="11" borderId="0" xfId="0" applyNumberFormat="1" applyFont="1" applyFill="1"/>
    <xf numFmtId="0" fontId="2" fillId="0" borderId="0" xfId="0" applyFont="1" applyFill="1"/>
    <xf numFmtId="0" fontId="0" fillId="0" borderId="0" xfId="0" applyFill="1" applyBorder="1"/>
    <xf numFmtId="0" fontId="1" fillId="12" borderId="0" xfId="0" applyFont="1" applyFill="1" applyAlignment="1">
      <alignment horizontal="center"/>
    </xf>
    <xf numFmtId="0" fontId="1" fillId="13" borderId="0" xfId="0" applyFont="1" applyFill="1" applyAlignment="1">
      <alignment horizontal="center"/>
    </xf>
    <xf numFmtId="9" fontId="0" fillId="0" borderId="0" xfId="0" applyNumberFormat="1"/>
    <xf numFmtId="0" fontId="0" fillId="0" borderId="0" xfId="0" applyNumberFormat="1"/>
    <xf numFmtId="171" fontId="0" fillId="0" borderId="0" xfId="0" applyNumberFormat="1"/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10" fontId="0" fillId="0" borderId="0" xfId="0" applyNumberFormat="1" applyAlignment="1">
      <alignment horizontal="right" vertical="center" wrapText="1"/>
    </xf>
    <xf numFmtId="0" fontId="0" fillId="0" borderId="0" xfId="0" applyFont="1" applyAlignment="1">
      <alignment horizontal="left" wrapText="1"/>
    </xf>
    <xf numFmtId="14" fontId="0" fillId="0" borderId="0" xfId="0" applyNumberFormat="1" applyAlignment="1">
      <alignment horizontal="left"/>
    </xf>
    <xf numFmtId="22" fontId="0" fillId="0" borderId="0" xfId="0" applyNumberFormat="1"/>
    <xf numFmtId="0" fontId="2" fillId="0" borderId="0" xfId="0" applyFont="1" applyAlignment="1">
      <alignment horizontal="right"/>
    </xf>
    <xf numFmtId="172" fontId="0" fillId="0" borderId="0" xfId="0" applyNumberFormat="1"/>
    <xf numFmtId="173" fontId="0" fillId="0" borderId="0" xfId="0" applyNumberFormat="1"/>
    <xf numFmtId="2" fontId="2" fillId="0" borderId="0" xfId="0" applyNumberFormat="1" applyFont="1"/>
    <xf numFmtId="0" fontId="8" fillId="0" borderId="0" xfId="0" applyFont="1" applyFill="1"/>
  </cellXfs>
  <cellStyles count="1">
    <cellStyle name="Normal" xfId="0" builtinId="0"/>
  </cellStyles>
  <dxfs count="6"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</dxfs>
  <tableStyles count="0" defaultTableStyle="TableStyleMedium2" defaultPivotStyle="PivotStyleLight16"/>
  <colors>
    <mruColors>
      <color rgb="FFFED7CC"/>
      <color rgb="FFF7D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196250647595277E-2"/>
          <c:y val="1.4953443264832597E-2"/>
          <c:w val="0.92300962379702534"/>
          <c:h val="0.82275937142378652"/>
        </c:manualLayout>
      </c:layout>
      <c:lineChart>
        <c:grouping val="stacke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FINANCIAL_STATEMENTS!$B$5:$L$5</c:f>
              <c:numCache>
                <c:formatCode>#,##0.000"B"</c:formatCode>
                <c:ptCount val="11"/>
                <c:pt idx="0">
                  <c:v>233.715</c:v>
                </c:pt>
                <c:pt idx="1">
                  <c:v>215.63900000000001</c:v>
                </c:pt>
                <c:pt idx="2">
                  <c:v>229.23400000000001</c:v>
                </c:pt>
                <c:pt idx="3">
                  <c:v>265.59500000000003</c:v>
                </c:pt>
                <c:pt idx="4">
                  <c:v>260.17399999999998</c:v>
                </c:pt>
                <c:pt idx="5">
                  <c:v>274.51499999999999</c:v>
                </c:pt>
                <c:pt idx="6">
                  <c:v>365.81700000000001</c:v>
                </c:pt>
                <c:pt idx="7">
                  <c:v>394.32799999999997</c:v>
                </c:pt>
                <c:pt idx="8">
                  <c:v>383.28500000000003</c:v>
                </c:pt>
                <c:pt idx="9">
                  <c:v>391.03500000000003</c:v>
                </c:pt>
                <c:pt idx="10">
                  <c:v>416.161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C4-4008-90A7-0F89C1A25A4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dropLines>
        <c:smooth val="0"/>
        <c:axId val="1966908479"/>
        <c:axId val="1966908959"/>
      </c:lineChart>
      <c:catAx>
        <c:axId val="1966908479"/>
        <c:scaling>
          <c:orientation val="minMax"/>
        </c:scaling>
        <c:delete val="1"/>
        <c:axPos val="b"/>
        <c:majorTickMark val="none"/>
        <c:minorTickMark val="none"/>
        <c:tickLblPos val="nextTo"/>
        <c:crossAx val="1966908959"/>
        <c:crosses val="autoZero"/>
        <c:auto val="1"/>
        <c:lblAlgn val="ctr"/>
        <c:lblOffset val="100"/>
        <c:noMultiLvlLbl val="0"/>
      </c:catAx>
      <c:valAx>
        <c:axId val="1966908959"/>
        <c:scaling>
          <c:orientation val="minMax"/>
        </c:scaling>
        <c:delete val="1"/>
        <c:axPos val="l"/>
        <c:numFmt formatCode="#,##0.000&quot;B&quot;" sourceLinked="1"/>
        <c:majorTickMark val="none"/>
        <c:minorTickMark val="none"/>
        <c:tickLblPos val="nextTo"/>
        <c:crossAx val="1966908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083451107073165E-3"/>
          <c:y val="0.1399540682414698"/>
          <c:w val="0.92300962379702534"/>
          <c:h val="0.82275937142378652"/>
        </c:manualLayout>
      </c:layout>
      <c:lineChart>
        <c:grouping val="stacked"/>
        <c:varyColors val="0"/>
        <c:ser>
          <c:idx val="0"/>
          <c:order val="0"/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FINANCIAL_STATEMENTS!$B$18:$L$18</c:f>
              <c:numCache>
                <c:formatCode>#,##0.000"B"</c:formatCode>
                <c:ptCount val="11"/>
                <c:pt idx="0">
                  <c:v>53.393999999999998</c:v>
                </c:pt>
                <c:pt idx="1">
                  <c:v>45.686999999999998</c:v>
                </c:pt>
                <c:pt idx="2">
                  <c:v>48.350999999999999</c:v>
                </c:pt>
                <c:pt idx="3">
                  <c:v>59.530999999999999</c:v>
                </c:pt>
                <c:pt idx="4">
                  <c:v>55.256</c:v>
                </c:pt>
                <c:pt idx="5">
                  <c:v>57.411000000000001</c:v>
                </c:pt>
                <c:pt idx="6">
                  <c:v>94.68</c:v>
                </c:pt>
                <c:pt idx="7">
                  <c:v>99.802999999999997</c:v>
                </c:pt>
                <c:pt idx="8">
                  <c:v>96.995000000000005</c:v>
                </c:pt>
                <c:pt idx="9">
                  <c:v>93.736000000000004</c:v>
                </c:pt>
                <c:pt idx="10">
                  <c:v>112.01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F3-450F-9673-6D572E18130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dropLines>
        <c:smooth val="0"/>
        <c:axId val="1966908479"/>
        <c:axId val="1966908959"/>
      </c:lineChart>
      <c:catAx>
        <c:axId val="1966908479"/>
        <c:scaling>
          <c:orientation val="minMax"/>
        </c:scaling>
        <c:delete val="1"/>
        <c:axPos val="b"/>
        <c:majorTickMark val="none"/>
        <c:minorTickMark val="none"/>
        <c:tickLblPos val="nextTo"/>
        <c:crossAx val="1966908959"/>
        <c:crosses val="autoZero"/>
        <c:auto val="1"/>
        <c:lblAlgn val="ctr"/>
        <c:lblOffset val="100"/>
        <c:noMultiLvlLbl val="0"/>
      </c:catAx>
      <c:valAx>
        <c:axId val="1966908959"/>
        <c:scaling>
          <c:orientation val="minMax"/>
        </c:scaling>
        <c:delete val="1"/>
        <c:axPos val="l"/>
        <c:numFmt formatCode="#,##0.000&quot;B&quot;" sourceLinked="1"/>
        <c:majorTickMark val="none"/>
        <c:minorTickMark val="none"/>
        <c:tickLblPos val="nextTo"/>
        <c:crossAx val="1966908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083451107073157E-3"/>
          <c:y val="0.1399540682414698"/>
          <c:w val="0.92300962379702534"/>
          <c:h val="0.82275937142378652"/>
        </c:manualLayout>
      </c:layout>
      <c:lineChart>
        <c:grouping val="stacked"/>
        <c:varyColors val="0"/>
        <c:ser>
          <c:idx val="0"/>
          <c:order val="0"/>
          <c:spPr>
            <a:ln w="25400" cap="rnd">
              <a:solidFill>
                <a:srgbClr val="002060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FINANCIAL_STATEMENTS!$B$74:$L$74</c:f>
              <c:numCache>
                <c:formatCode>#,##0.000"B"</c:formatCode>
                <c:ptCount val="11"/>
                <c:pt idx="0">
                  <c:v>70.019000000000005</c:v>
                </c:pt>
                <c:pt idx="1">
                  <c:v>53.496999999999993</c:v>
                </c:pt>
                <c:pt idx="2">
                  <c:v>51.773999999999994</c:v>
                </c:pt>
                <c:pt idx="3">
                  <c:v>64.120999999999995</c:v>
                </c:pt>
                <c:pt idx="4">
                  <c:v>58.896000000000008</c:v>
                </c:pt>
                <c:pt idx="5">
                  <c:v>73.365000000000009</c:v>
                </c:pt>
                <c:pt idx="6">
                  <c:v>92.953000000000003</c:v>
                </c:pt>
                <c:pt idx="7">
                  <c:v>111.443</c:v>
                </c:pt>
                <c:pt idx="8">
                  <c:v>99.584000000000003</c:v>
                </c:pt>
                <c:pt idx="9">
                  <c:v>108.807</c:v>
                </c:pt>
                <c:pt idx="10">
                  <c:v>98.766999999999996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2-4B38-BA0A-DEC0F67780A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dropLines>
        <c:smooth val="0"/>
        <c:axId val="1966908479"/>
        <c:axId val="1966908959"/>
      </c:lineChart>
      <c:catAx>
        <c:axId val="1966908479"/>
        <c:scaling>
          <c:orientation val="minMax"/>
        </c:scaling>
        <c:delete val="1"/>
        <c:axPos val="b"/>
        <c:majorTickMark val="none"/>
        <c:minorTickMark val="none"/>
        <c:tickLblPos val="nextTo"/>
        <c:crossAx val="1966908959"/>
        <c:crosses val="autoZero"/>
        <c:auto val="1"/>
        <c:lblAlgn val="ctr"/>
        <c:lblOffset val="100"/>
        <c:noMultiLvlLbl val="0"/>
      </c:catAx>
      <c:valAx>
        <c:axId val="1966908959"/>
        <c:scaling>
          <c:orientation val="minMax"/>
        </c:scaling>
        <c:delete val="1"/>
        <c:axPos val="l"/>
        <c:numFmt formatCode="#,##0.000&quot;B&quot;" sourceLinked="1"/>
        <c:majorTickMark val="none"/>
        <c:minorTickMark val="none"/>
        <c:tickLblPos val="nextTo"/>
        <c:crossAx val="1966908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828621254557945"/>
          <c:y val="0.44735556203622695"/>
          <c:w val="0.60620796561503643"/>
          <c:h val="0.54629662032986614"/>
        </c:manualLayout>
      </c:layout>
      <c:lineChart>
        <c:grouping val="stacked"/>
        <c:varyColors val="0"/>
        <c:ser>
          <c:idx val="0"/>
          <c:order val="0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PORTFOLIO_TRACKER!$B$7:$B$128</c:f>
              <c:numCache>
                <c:formatCode>General</c:formatCode>
                <c:ptCount val="122"/>
                <c:pt idx="0">
                  <c:v>29.14793396</c:v>
                </c:pt>
                <c:pt idx="1">
                  <c:v>29.48956871</c:v>
                </c:pt>
                <c:pt idx="2">
                  <c:v>26.85295868</c:v>
                </c:pt>
                <c:pt idx="3">
                  <c:v>26.110540390000001</c:v>
                </c:pt>
                <c:pt idx="4">
                  <c:v>27.034641270000002</c:v>
                </c:pt>
                <c:pt idx="5">
                  <c:v>27.492214199999999</c:v>
                </c:pt>
                <c:pt idx="6">
                  <c:v>26.81248093</c:v>
                </c:pt>
                <c:pt idx="7">
                  <c:v>23.730947489999998</c:v>
                </c:pt>
                <c:pt idx="8">
                  <c:v>22.22226715</c:v>
                </c:pt>
                <c:pt idx="9">
                  <c:v>24.813196179999998</c:v>
                </c:pt>
                <c:pt idx="10">
                  <c:v>25.38845062</c:v>
                </c:pt>
                <c:pt idx="11">
                  <c:v>22.879360200000001</c:v>
                </c:pt>
                <c:pt idx="12">
                  <c:v>22.7061882</c:v>
                </c:pt>
                <c:pt idx="13">
                  <c:v>23.77485085</c:v>
                </c:pt>
                <c:pt idx="14">
                  <c:v>25.081184390000001</c:v>
                </c:pt>
                <c:pt idx="15">
                  <c:v>26.476364140000001</c:v>
                </c:pt>
                <c:pt idx="16">
                  <c:v>27.090333940000001</c:v>
                </c:pt>
                <c:pt idx="17">
                  <c:v>25.744180679999999</c:v>
                </c:pt>
                <c:pt idx="18">
                  <c:v>27.001461030000002</c:v>
                </c:pt>
                <c:pt idx="19">
                  <c:v>28.08141518</c:v>
                </c:pt>
                <c:pt idx="20">
                  <c:v>31.70919228</c:v>
                </c:pt>
                <c:pt idx="21">
                  <c:v>33.330368040000003</c:v>
                </c:pt>
                <c:pt idx="22">
                  <c:v>33.480720519999998</c:v>
                </c:pt>
                <c:pt idx="23">
                  <c:v>36.249984740000002</c:v>
                </c:pt>
                <c:pt idx="24">
                  <c:v>36.099040989999999</c:v>
                </c:pt>
                <c:pt idx="25">
                  <c:v>35.636932369999997</c:v>
                </c:pt>
                <c:pt idx="26">
                  <c:v>38.23411179</c:v>
                </c:pt>
                <c:pt idx="27">
                  <c:v>38.245773319999998</c:v>
                </c:pt>
                <c:pt idx="28">
                  <c:v>39.409103389999999</c:v>
                </c:pt>
                <c:pt idx="29">
                  <c:v>41.087680820000003</c:v>
                </c:pt>
                <c:pt idx="30">
                  <c:v>41.277496339999999</c:v>
                </c:pt>
                <c:pt idx="31">
                  <c:v>41.941974639999998</c:v>
                </c:pt>
                <c:pt idx="32">
                  <c:v>42.044853209999999</c:v>
                </c:pt>
                <c:pt idx="33">
                  <c:v>42.690910340000002</c:v>
                </c:pt>
                <c:pt idx="34">
                  <c:v>41.873367309999999</c:v>
                </c:pt>
                <c:pt idx="35">
                  <c:v>44.645496369999996</c:v>
                </c:pt>
                <c:pt idx="36">
                  <c:v>45.746837620000001</c:v>
                </c:pt>
                <c:pt idx="37">
                  <c:v>45.944938659999998</c:v>
                </c:pt>
                <c:pt idx="38">
                  <c:v>53.870872499999997</c:v>
                </c:pt>
                <c:pt idx="39">
                  <c:v>54.043632510000002</c:v>
                </c:pt>
                <c:pt idx="40">
                  <c:v>54.921653749999997</c:v>
                </c:pt>
                <c:pt idx="41">
                  <c:v>52.590545650000003</c:v>
                </c:pt>
                <c:pt idx="42">
                  <c:v>43.892086030000002</c:v>
                </c:pt>
                <c:pt idx="43">
                  <c:v>39.527107239999999</c:v>
                </c:pt>
                <c:pt idx="44">
                  <c:v>41.707214360000002</c:v>
                </c:pt>
                <c:pt idx="45">
                  <c:v>46.529769899999998</c:v>
                </c:pt>
                <c:pt idx="46">
                  <c:v>49.48483658</c:v>
                </c:pt>
                <c:pt idx="47">
                  <c:v>50.503246310000002</c:v>
                </c:pt>
                <c:pt idx="48">
                  <c:v>47.836639400000003</c:v>
                </c:pt>
                <c:pt idx="49">
                  <c:v>51.006584169999996</c:v>
                </c:pt>
                <c:pt idx="50">
                  <c:v>51.104248050000002</c:v>
                </c:pt>
                <c:pt idx="51">
                  <c:v>53.827213290000003</c:v>
                </c:pt>
                <c:pt idx="52">
                  <c:v>59.854759219999998</c:v>
                </c:pt>
                <c:pt idx="53">
                  <c:v>64.563865660000005</c:v>
                </c:pt>
                <c:pt idx="54">
                  <c:v>70.78544617</c:v>
                </c:pt>
                <c:pt idx="55">
                  <c:v>78.183418270000004</c:v>
                </c:pt>
                <c:pt idx="56">
                  <c:v>79.059997559999999</c:v>
                </c:pt>
                <c:pt idx="57">
                  <c:v>73.14983368</c:v>
                </c:pt>
                <c:pt idx="58">
                  <c:v>70.98967743</c:v>
                </c:pt>
                <c:pt idx="59">
                  <c:v>77.343040470000005</c:v>
                </c:pt>
                <c:pt idx="60">
                  <c:v>88.802894589999994</c:v>
                </c:pt>
                <c:pt idx="61">
                  <c:v>102.9786835</c:v>
                </c:pt>
                <c:pt idx="62">
                  <c:v>125.2807083</c:v>
                </c:pt>
                <c:pt idx="63">
                  <c:v>130.27095030000001</c:v>
                </c:pt>
                <c:pt idx="64">
                  <c:v>120.7758942</c:v>
                </c:pt>
                <c:pt idx="65">
                  <c:v>116.99684139999999</c:v>
                </c:pt>
                <c:pt idx="66">
                  <c:v>132.93681340000001</c:v>
                </c:pt>
                <c:pt idx="67">
                  <c:v>139.22914119999999</c:v>
                </c:pt>
                <c:pt idx="68">
                  <c:v>133.61758420000001</c:v>
                </c:pt>
                <c:pt idx="69">
                  <c:v>124.4668884</c:v>
                </c:pt>
                <c:pt idx="70">
                  <c:v>131.3335419</c:v>
                </c:pt>
                <c:pt idx="71">
                  <c:v>129.0933838</c:v>
                </c:pt>
                <c:pt idx="72">
                  <c:v>133.6250153</c:v>
                </c:pt>
                <c:pt idx="73">
                  <c:v>145.51817320000001</c:v>
                </c:pt>
                <c:pt idx="74">
                  <c:v>149.61532589999999</c:v>
                </c:pt>
                <c:pt idx="75">
                  <c:v>153.10363770000001</c:v>
                </c:pt>
                <c:pt idx="76">
                  <c:v>149.07794190000001</c:v>
                </c:pt>
                <c:pt idx="77">
                  <c:v>161.7523041</c:v>
                </c:pt>
                <c:pt idx="78">
                  <c:v>176.4597473</c:v>
                </c:pt>
                <c:pt idx="79">
                  <c:v>178.10363770000001</c:v>
                </c:pt>
                <c:pt idx="80">
                  <c:v>172.71641539999999</c:v>
                </c:pt>
                <c:pt idx="81">
                  <c:v>175.34226989999999</c:v>
                </c:pt>
                <c:pt idx="82">
                  <c:v>174.83277889999999</c:v>
                </c:pt>
                <c:pt idx="83">
                  <c:v>162.6638336</c:v>
                </c:pt>
                <c:pt idx="84">
                  <c:v>148.3709259</c:v>
                </c:pt>
                <c:pt idx="85">
                  <c:v>159.45872499999999</c:v>
                </c:pt>
                <c:pt idx="86">
                  <c:v>171.51054379999999</c:v>
                </c:pt>
                <c:pt idx="87">
                  <c:v>160.58418270000001</c:v>
                </c:pt>
                <c:pt idx="88">
                  <c:v>153.0281372</c:v>
                </c:pt>
                <c:pt idx="89">
                  <c:v>148.9021759</c:v>
                </c:pt>
                <c:pt idx="90">
                  <c:v>145.96920779999999</c:v>
                </c:pt>
                <c:pt idx="91">
                  <c:v>143.62675479999999</c:v>
                </c:pt>
                <c:pt idx="92">
                  <c:v>153.11186219999999</c:v>
                </c:pt>
                <c:pt idx="93">
                  <c:v>162.5451813</c:v>
                </c:pt>
                <c:pt idx="94">
                  <c:v>167.25691219999999</c:v>
                </c:pt>
                <c:pt idx="95">
                  <c:v>175.0098572</c:v>
                </c:pt>
                <c:pt idx="96">
                  <c:v>191.4645233</c:v>
                </c:pt>
                <c:pt idx="97">
                  <c:v>193.91247559999999</c:v>
                </c:pt>
                <c:pt idx="98">
                  <c:v>193.08332820000001</c:v>
                </c:pt>
                <c:pt idx="99">
                  <c:v>187.502533</c:v>
                </c:pt>
                <c:pt idx="100">
                  <c:v>178.61668399999999</c:v>
                </c:pt>
                <c:pt idx="101">
                  <c:v>189.48155209999999</c:v>
                </c:pt>
                <c:pt idx="102">
                  <c:v>196.0730896</c:v>
                </c:pt>
                <c:pt idx="103">
                  <c:v>193.1732025</c:v>
                </c:pt>
                <c:pt idx="104">
                  <c:v>187.46257019999999</c:v>
                </c:pt>
                <c:pt idx="105">
                  <c:v>178.03970340000001</c:v>
                </c:pt>
                <c:pt idx="106">
                  <c:v>174.95773320000001</c:v>
                </c:pt>
                <c:pt idx="107">
                  <c:v>190.8737946</c:v>
                </c:pt>
                <c:pt idx="108">
                  <c:v>215.00714110000001</c:v>
                </c:pt>
                <c:pt idx="109">
                  <c:v>233.01785280000001</c:v>
                </c:pt>
                <c:pt idx="110">
                  <c:v>228.2903748</c:v>
                </c:pt>
                <c:pt idx="111">
                  <c:v>231.47941589999999</c:v>
                </c:pt>
                <c:pt idx="112">
                  <c:v>234.93672179999999</c:v>
                </c:pt>
                <c:pt idx="113">
                  <c:v>236.04058839999999</c:v>
                </c:pt>
                <c:pt idx="114">
                  <c:v>257.61270139999999</c:v>
                </c:pt>
                <c:pt idx="115">
                  <c:v>243.66891480000001</c:v>
                </c:pt>
                <c:pt idx="116">
                  <c:v>246.02771000000001</c:v>
                </c:pt>
                <c:pt idx="117">
                  <c:v>238.03254699999999</c:v>
                </c:pt>
                <c:pt idx="118">
                  <c:v>222.91842650000001</c:v>
                </c:pt>
                <c:pt idx="119">
                  <c:v>212.39431759999999</c:v>
                </c:pt>
                <c:pt idx="120">
                  <c:v>204.54754639999999</c:v>
                </c:pt>
                <c:pt idx="121">
                  <c:v>213.749527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8-42EE-8CEF-FD01ADF74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009167"/>
        <c:axId val="140009647"/>
      </c:lineChart>
      <c:catAx>
        <c:axId val="140009167"/>
        <c:scaling>
          <c:orientation val="minMax"/>
        </c:scaling>
        <c:delete val="1"/>
        <c:axPos val="b"/>
        <c:majorTickMark val="none"/>
        <c:minorTickMark val="none"/>
        <c:tickLblPos val="nextTo"/>
        <c:crossAx val="140009647"/>
        <c:crosses val="autoZero"/>
        <c:auto val="1"/>
        <c:lblAlgn val="ctr"/>
        <c:lblOffset val="100"/>
        <c:noMultiLvlLbl val="0"/>
      </c:catAx>
      <c:valAx>
        <c:axId val="14000964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0009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85494825649326"/>
          <c:y val="0.10982244443925958"/>
          <c:w val="0.74697745229042989"/>
          <c:h val="0.850776278261811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45-453F-86EE-53DF659038B6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45-453F-86EE-53DF659038B6}"/>
              </c:ext>
            </c:extLst>
          </c:dPt>
          <c:val>
            <c:numRef>
              <c:f>VALUATION_ENGINE!$K$54:$K$55</c:f>
              <c:numCache>
                <c:formatCode>General</c:formatCode>
                <c:ptCount val="2"/>
                <c:pt idx="0">
                  <c:v>32.049999999999997</c:v>
                </c:pt>
                <c:pt idx="1">
                  <c:v>67.95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45-453F-86EE-53DF65903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3.6947218966444602E-2"/>
          <c:w val="1"/>
          <c:h val="0.92110238255949217"/>
        </c:manualLayout>
      </c:layout>
      <c:areaChart>
        <c:grouping val="standard"/>
        <c:varyColors val="0"/>
        <c:ser>
          <c:idx val="0"/>
          <c:order val="0"/>
          <c:spPr>
            <a:gradFill flip="none" rotWithShape="1">
              <a:gsLst>
                <a:gs pos="3000">
                  <a:srgbClr val="C00000">
                    <a:alpha val="3000"/>
                  </a:srgbClr>
                </a:gs>
                <a:gs pos="45000">
                  <a:schemeClr val="accent2">
                    <a:lumMod val="89000"/>
                  </a:schemeClr>
                </a:gs>
                <a:gs pos="86000">
                  <a:schemeClr val="accent2">
                    <a:lumMod val="75000"/>
                  </a:schemeClr>
                </a:gs>
                <a:gs pos="97000">
                  <a:schemeClr val="accent2">
                    <a:lumMod val="70000"/>
                  </a:schemeClr>
                </a:gs>
              </a:gsLst>
              <a:lin ang="2700000" scaled="1"/>
              <a:tileRect/>
            </a:gradFill>
            <a:ln>
              <a:solidFill>
                <a:srgbClr val="C00000"/>
              </a:solidFill>
            </a:ln>
            <a:effectLst/>
          </c:spPr>
          <c:val>
            <c:numRef>
              <c:f>PORTFOLIO_TRACKER!$B$7:$B$128</c:f>
              <c:numCache>
                <c:formatCode>General</c:formatCode>
                <c:ptCount val="122"/>
                <c:pt idx="0">
                  <c:v>29.14793396</c:v>
                </c:pt>
                <c:pt idx="1">
                  <c:v>29.48956871</c:v>
                </c:pt>
                <c:pt idx="2">
                  <c:v>26.85295868</c:v>
                </c:pt>
                <c:pt idx="3">
                  <c:v>26.110540390000001</c:v>
                </c:pt>
                <c:pt idx="4">
                  <c:v>27.034641270000002</c:v>
                </c:pt>
                <c:pt idx="5">
                  <c:v>27.492214199999999</c:v>
                </c:pt>
                <c:pt idx="6">
                  <c:v>26.81248093</c:v>
                </c:pt>
                <c:pt idx="7">
                  <c:v>23.730947489999998</c:v>
                </c:pt>
                <c:pt idx="8">
                  <c:v>22.22226715</c:v>
                </c:pt>
                <c:pt idx="9">
                  <c:v>24.813196179999998</c:v>
                </c:pt>
                <c:pt idx="10">
                  <c:v>25.38845062</c:v>
                </c:pt>
                <c:pt idx="11">
                  <c:v>22.879360200000001</c:v>
                </c:pt>
                <c:pt idx="12">
                  <c:v>22.7061882</c:v>
                </c:pt>
                <c:pt idx="13">
                  <c:v>23.77485085</c:v>
                </c:pt>
                <c:pt idx="14">
                  <c:v>25.081184390000001</c:v>
                </c:pt>
                <c:pt idx="15">
                  <c:v>26.476364140000001</c:v>
                </c:pt>
                <c:pt idx="16">
                  <c:v>27.090333940000001</c:v>
                </c:pt>
                <c:pt idx="17">
                  <c:v>25.744180679999999</c:v>
                </c:pt>
                <c:pt idx="18">
                  <c:v>27.001461030000002</c:v>
                </c:pt>
                <c:pt idx="19">
                  <c:v>28.08141518</c:v>
                </c:pt>
                <c:pt idx="20">
                  <c:v>31.70919228</c:v>
                </c:pt>
                <c:pt idx="21">
                  <c:v>33.330368040000003</c:v>
                </c:pt>
                <c:pt idx="22">
                  <c:v>33.480720519999998</c:v>
                </c:pt>
                <c:pt idx="23">
                  <c:v>36.249984740000002</c:v>
                </c:pt>
                <c:pt idx="24">
                  <c:v>36.099040989999999</c:v>
                </c:pt>
                <c:pt idx="25">
                  <c:v>35.636932369999997</c:v>
                </c:pt>
                <c:pt idx="26">
                  <c:v>38.23411179</c:v>
                </c:pt>
                <c:pt idx="27">
                  <c:v>38.245773319999998</c:v>
                </c:pt>
                <c:pt idx="28">
                  <c:v>39.409103389999999</c:v>
                </c:pt>
                <c:pt idx="29">
                  <c:v>41.087680820000003</c:v>
                </c:pt>
                <c:pt idx="30">
                  <c:v>41.277496339999999</c:v>
                </c:pt>
                <c:pt idx="31">
                  <c:v>41.941974639999998</c:v>
                </c:pt>
                <c:pt idx="32">
                  <c:v>42.044853209999999</c:v>
                </c:pt>
                <c:pt idx="33">
                  <c:v>42.690910340000002</c:v>
                </c:pt>
                <c:pt idx="34">
                  <c:v>41.873367309999999</c:v>
                </c:pt>
                <c:pt idx="35">
                  <c:v>44.645496369999996</c:v>
                </c:pt>
                <c:pt idx="36">
                  <c:v>45.746837620000001</c:v>
                </c:pt>
                <c:pt idx="37">
                  <c:v>45.944938659999998</c:v>
                </c:pt>
                <c:pt idx="38">
                  <c:v>53.870872499999997</c:v>
                </c:pt>
                <c:pt idx="39">
                  <c:v>54.043632510000002</c:v>
                </c:pt>
                <c:pt idx="40">
                  <c:v>54.921653749999997</c:v>
                </c:pt>
                <c:pt idx="41">
                  <c:v>52.590545650000003</c:v>
                </c:pt>
                <c:pt idx="42">
                  <c:v>43.892086030000002</c:v>
                </c:pt>
                <c:pt idx="43">
                  <c:v>39.527107239999999</c:v>
                </c:pt>
                <c:pt idx="44">
                  <c:v>41.707214360000002</c:v>
                </c:pt>
                <c:pt idx="45">
                  <c:v>46.529769899999998</c:v>
                </c:pt>
                <c:pt idx="46">
                  <c:v>49.48483658</c:v>
                </c:pt>
                <c:pt idx="47">
                  <c:v>50.503246310000002</c:v>
                </c:pt>
                <c:pt idx="48">
                  <c:v>47.836639400000003</c:v>
                </c:pt>
                <c:pt idx="49">
                  <c:v>51.006584169999996</c:v>
                </c:pt>
                <c:pt idx="50">
                  <c:v>51.104248050000002</c:v>
                </c:pt>
                <c:pt idx="51">
                  <c:v>53.827213290000003</c:v>
                </c:pt>
                <c:pt idx="52">
                  <c:v>59.854759219999998</c:v>
                </c:pt>
                <c:pt idx="53">
                  <c:v>64.563865660000005</c:v>
                </c:pt>
                <c:pt idx="54">
                  <c:v>70.78544617</c:v>
                </c:pt>
                <c:pt idx="55">
                  <c:v>78.183418270000004</c:v>
                </c:pt>
                <c:pt idx="56">
                  <c:v>79.059997559999999</c:v>
                </c:pt>
                <c:pt idx="57">
                  <c:v>73.14983368</c:v>
                </c:pt>
                <c:pt idx="58">
                  <c:v>70.98967743</c:v>
                </c:pt>
                <c:pt idx="59">
                  <c:v>77.343040470000005</c:v>
                </c:pt>
                <c:pt idx="60">
                  <c:v>88.802894589999994</c:v>
                </c:pt>
                <c:pt idx="61">
                  <c:v>102.9786835</c:v>
                </c:pt>
                <c:pt idx="62">
                  <c:v>125.2807083</c:v>
                </c:pt>
                <c:pt idx="63">
                  <c:v>130.27095030000001</c:v>
                </c:pt>
                <c:pt idx="64">
                  <c:v>120.7758942</c:v>
                </c:pt>
                <c:pt idx="65">
                  <c:v>116.99684139999999</c:v>
                </c:pt>
                <c:pt idx="66">
                  <c:v>132.93681340000001</c:v>
                </c:pt>
                <c:pt idx="67">
                  <c:v>139.22914119999999</c:v>
                </c:pt>
                <c:pt idx="68">
                  <c:v>133.61758420000001</c:v>
                </c:pt>
                <c:pt idx="69">
                  <c:v>124.4668884</c:v>
                </c:pt>
                <c:pt idx="70">
                  <c:v>131.3335419</c:v>
                </c:pt>
                <c:pt idx="71">
                  <c:v>129.0933838</c:v>
                </c:pt>
                <c:pt idx="72">
                  <c:v>133.6250153</c:v>
                </c:pt>
                <c:pt idx="73">
                  <c:v>145.51817320000001</c:v>
                </c:pt>
                <c:pt idx="74">
                  <c:v>149.61532589999999</c:v>
                </c:pt>
                <c:pt idx="75">
                  <c:v>153.10363770000001</c:v>
                </c:pt>
                <c:pt idx="76">
                  <c:v>149.07794190000001</c:v>
                </c:pt>
                <c:pt idx="77">
                  <c:v>161.7523041</c:v>
                </c:pt>
                <c:pt idx="78">
                  <c:v>176.4597473</c:v>
                </c:pt>
                <c:pt idx="79">
                  <c:v>178.10363770000001</c:v>
                </c:pt>
                <c:pt idx="80">
                  <c:v>172.71641539999999</c:v>
                </c:pt>
                <c:pt idx="81">
                  <c:v>175.34226989999999</c:v>
                </c:pt>
                <c:pt idx="82">
                  <c:v>174.83277889999999</c:v>
                </c:pt>
                <c:pt idx="83">
                  <c:v>162.6638336</c:v>
                </c:pt>
                <c:pt idx="84">
                  <c:v>148.3709259</c:v>
                </c:pt>
                <c:pt idx="85">
                  <c:v>159.45872499999999</c:v>
                </c:pt>
                <c:pt idx="86">
                  <c:v>171.51054379999999</c:v>
                </c:pt>
                <c:pt idx="87">
                  <c:v>160.58418270000001</c:v>
                </c:pt>
                <c:pt idx="88">
                  <c:v>153.0281372</c:v>
                </c:pt>
                <c:pt idx="89">
                  <c:v>148.9021759</c:v>
                </c:pt>
                <c:pt idx="90">
                  <c:v>145.96920779999999</c:v>
                </c:pt>
                <c:pt idx="91">
                  <c:v>143.62675479999999</c:v>
                </c:pt>
                <c:pt idx="92">
                  <c:v>153.11186219999999</c:v>
                </c:pt>
                <c:pt idx="93">
                  <c:v>162.5451813</c:v>
                </c:pt>
                <c:pt idx="94">
                  <c:v>167.25691219999999</c:v>
                </c:pt>
                <c:pt idx="95">
                  <c:v>175.0098572</c:v>
                </c:pt>
                <c:pt idx="96">
                  <c:v>191.4645233</c:v>
                </c:pt>
                <c:pt idx="97">
                  <c:v>193.91247559999999</c:v>
                </c:pt>
                <c:pt idx="98">
                  <c:v>193.08332820000001</c:v>
                </c:pt>
                <c:pt idx="99">
                  <c:v>187.502533</c:v>
                </c:pt>
                <c:pt idx="100">
                  <c:v>178.61668399999999</c:v>
                </c:pt>
                <c:pt idx="101">
                  <c:v>189.48155209999999</c:v>
                </c:pt>
                <c:pt idx="102">
                  <c:v>196.0730896</c:v>
                </c:pt>
                <c:pt idx="103">
                  <c:v>193.1732025</c:v>
                </c:pt>
                <c:pt idx="104">
                  <c:v>187.46257019999999</c:v>
                </c:pt>
                <c:pt idx="105">
                  <c:v>178.03970340000001</c:v>
                </c:pt>
                <c:pt idx="106">
                  <c:v>174.95773320000001</c:v>
                </c:pt>
                <c:pt idx="107">
                  <c:v>190.8737946</c:v>
                </c:pt>
                <c:pt idx="108">
                  <c:v>215.00714110000001</c:v>
                </c:pt>
                <c:pt idx="109">
                  <c:v>233.01785280000001</c:v>
                </c:pt>
                <c:pt idx="110">
                  <c:v>228.2903748</c:v>
                </c:pt>
                <c:pt idx="111">
                  <c:v>231.47941589999999</c:v>
                </c:pt>
                <c:pt idx="112">
                  <c:v>234.93672179999999</c:v>
                </c:pt>
                <c:pt idx="113">
                  <c:v>236.04058839999999</c:v>
                </c:pt>
                <c:pt idx="114">
                  <c:v>257.61270139999999</c:v>
                </c:pt>
                <c:pt idx="115">
                  <c:v>243.66891480000001</c:v>
                </c:pt>
                <c:pt idx="116">
                  <c:v>246.02771000000001</c:v>
                </c:pt>
                <c:pt idx="117">
                  <c:v>238.03254699999999</c:v>
                </c:pt>
                <c:pt idx="118">
                  <c:v>222.91842650000001</c:v>
                </c:pt>
                <c:pt idx="119">
                  <c:v>212.39431759999999</c:v>
                </c:pt>
                <c:pt idx="120">
                  <c:v>204.54754639999999</c:v>
                </c:pt>
                <c:pt idx="121">
                  <c:v>213.749527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A-4860-AECB-A2BEFC07D7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009167"/>
        <c:axId val="140009647"/>
      </c:areaChart>
      <c:catAx>
        <c:axId val="140009167"/>
        <c:scaling>
          <c:orientation val="minMax"/>
        </c:scaling>
        <c:delete val="1"/>
        <c:axPos val="b"/>
        <c:majorTickMark val="none"/>
        <c:minorTickMark val="none"/>
        <c:tickLblPos val="nextTo"/>
        <c:crossAx val="140009647"/>
        <c:crosses val="autoZero"/>
        <c:auto val="1"/>
        <c:lblAlgn val="ctr"/>
        <c:lblOffset val="100"/>
        <c:noMultiLvlLbl val="0"/>
      </c:catAx>
      <c:valAx>
        <c:axId val="14000964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00091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000883222930467"/>
          <c:y val="0.12911232733376787"/>
          <c:w val="0.70211823522059746"/>
          <c:h val="0.82024451575643542"/>
        </c:manualLayout>
      </c:layout>
      <c:barChart>
        <c:barDir val="bar"/>
        <c:grouping val="stacked"/>
        <c:varyColors val="0"/>
        <c:ser>
          <c:idx val="0"/>
          <c:order val="0"/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SCENARIO_LAB!$H$12:$H$14</c:f>
              <c:strCache>
                <c:ptCount val="3"/>
                <c:pt idx="0">
                  <c:v>Bull</c:v>
                </c:pt>
                <c:pt idx="1">
                  <c:v>Base</c:v>
                </c:pt>
                <c:pt idx="2">
                  <c:v>Bear</c:v>
                </c:pt>
              </c:strCache>
            </c:strRef>
          </c:cat>
          <c:val>
            <c:numRef>
              <c:f>SCENARIO_LAB!$L$12:$L$14</c:f>
              <c:numCache>
                <c:formatCode>General</c:formatCode>
                <c:ptCount val="3"/>
                <c:pt idx="0">
                  <c:v>0.85238095238095235</c:v>
                </c:pt>
                <c:pt idx="1">
                  <c:v>0.68095238095238098</c:v>
                </c:pt>
                <c:pt idx="2">
                  <c:v>0.48095238095238096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BB-4092-9283-D84DCCFBA577}"/>
            </c:ext>
          </c:extLst>
        </c:ser>
        <c:ser>
          <c:idx val="1"/>
          <c:order val="1"/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SCENARIO_LAB!$H$12:$H$14</c:f>
              <c:strCache>
                <c:ptCount val="3"/>
                <c:pt idx="0">
                  <c:v>Bull</c:v>
                </c:pt>
                <c:pt idx="1">
                  <c:v>Base</c:v>
                </c:pt>
                <c:pt idx="2">
                  <c:v>Bear</c:v>
                </c:pt>
              </c:strCache>
            </c:strRef>
          </c:cat>
          <c:val>
            <c:numRef>
              <c:f>SCENARIO_LAB!$M$12:$M$14</c:f>
              <c:numCache>
                <c:formatCode>General</c:formatCode>
                <c:ptCount val="3"/>
                <c:pt idx="0">
                  <c:v>0.14761904761904765</c:v>
                </c:pt>
                <c:pt idx="1">
                  <c:v>0.31904761904761902</c:v>
                </c:pt>
                <c:pt idx="2">
                  <c:v>0.51904761904761898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BB-4092-9283-D84DCCFBA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52682911"/>
        <c:axId val="1352684831"/>
      </c:barChart>
      <c:catAx>
        <c:axId val="135268291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52684831"/>
        <c:crosses val="autoZero"/>
        <c:auto val="1"/>
        <c:lblAlgn val="ctr"/>
        <c:lblOffset val="100"/>
        <c:noMultiLvlLbl val="0"/>
      </c:catAx>
      <c:valAx>
        <c:axId val="135268483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52682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Tornado Chart</a:t>
            </a:r>
          </a:p>
        </c:rich>
      </c:tx>
      <c:layout>
        <c:manualLayout>
          <c:xMode val="edge"/>
          <c:yMode val="edge"/>
          <c:x val="0.30476581861530255"/>
          <c:y val="3.21286136381082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681274900398405E-3"/>
          <c:y val="0.18375257290321084"/>
          <c:w val="0.99203187250996017"/>
          <c:h val="0.8162474270967892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SCENARIO_LAB!$L$42</c:f>
              <c:strCache>
                <c:ptCount val="1"/>
                <c:pt idx="0">
                  <c:v>Downside %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SCENARIO_LAB!$H$43:$H$48</c:f>
              <c:strCache>
                <c:ptCount val="6"/>
                <c:pt idx="0">
                  <c:v>Tax Rate</c:v>
                </c:pt>
                <c:pt idx="1">
                  <c:v>CapEx</c:v>
                </c:pt>
                <c:pt idx="2">
                  <c:v>Revenue </c:v>
                </c:pt>
                <c:pt idx="3">
                  <c:v>Terminal </c:v>
                </c:pt>
                <c:pt idx="4">
                  <c:v>EBITDA</c:v>
                </c:pt>
                <c:pt idx="5">
                  <c:v>WACC</c:v>
                </c:pt>
              </c:strCache>
            </c:strRef>
          </c:cat>
          <c:val>
            <c:numRef>
              <c:f>SCENARIO_LAB!$L$43:$L$48</c:f>
              <c:numCache>
                <c:formatCode>0.00%</c:formatCode>
                <c:ptCount val="6"/>
                <c:pt idx="0">
                  <c:v>-5.1951451210516475E-2</c:v>
                </c:pt>
                <c:pt idx="1">
                  <c:v>-5.9714059271109177E-2</c:v>
                </c:pt>
                <c:pt idx="2">
                  <c:v>-6.0770183970699332E-2</c:v>
                </c:pt>
                <c:pt idx="3">
                  <c:v>-7.6252386347620549E-2</c:v>
                </c:pt>
                <c:pt idx="4">
                  <c:v>-0.13958234569505623</c:v>
                </c:pt>
                <c:pt idx="5">
                  <c:v>-0.19037059543834667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96-4D64-BCCF-7BEE825E9701}"/>
            </c:ext>
          </c:extLst>
        </c:ser>
        <c:ser>
          <c:idx val="1"/>
          <c:order val="1"/>
          <c:tx>
            <c:strRef>
              <c:f>SCENARIO_LAB!$M$42</c:f>
              <c:strCache>
                <c:ptCount val="1"/>
                <c:pt idx="0">
                  <c:v>Upside %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SCENARIO_LAB!$H$43:$H$48</c:f>
              <c:strCache>
                <c:ptCount val="6"/>
                <c:pt idx="0">
                  <c:v>Tax Rate</c:v>
                </c:pt>
                <c:pt idx="1">
                  <c:v>CapEx</c:v>
                </c:pt>
                <c:pt idx="2">
                  <c:v>Revenue </c:v>
                </c:pt>
                <c:pt idx="3">
                  <c:v>Terminal </c:v>
                </c:pt>
                <c:pt idx="4">
                  <c:v>EBITDA</c:v>
                </c:pt>
                <c:pt idx="5">
                  <c:v>WACC</c:v>
                </c:pt>
              </c:strCache>
            </c:strRef>
          </c:cat>
          <c:val>
            <c:numRef>
              <c:f>SCENARIO_LAB!$M$43:$M$48</c:f>
              <c:numCache>
                <c:formatCode>0.00%</c:formatCode>
                <c:ptCount val="6"/>
                <c:pt idx="0">
                  <c:v>3.8964046000911523E-2</c:v>
                </c:pt>
                <c:pt idx="1">
                  <c:v>2.9857029635554699E-2</c:v>
                </c:pt>
                <c:pt idx="2">
                  <c:v>3.2722477152380414E-2</c:v>
                </c:pt>
                <c:pt idx="3">
                  <c:v>9.6586905151948343E-2</c:v>
                </c:pt>
                <c:pt idx="4">
                  <c:v>0.11420423657925416</c:v>
                </c:pt>
                <c:pt idx="5">
                  <c:v>0.3071876881851312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96-4D64-BCCF-7BEE825E9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22122559"/>
        <c:axId val="1542802863"/>
      </c:barChart>
      <c:catAx>
        <c:axId val="18221225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802863"/>
        <c:crosses val="autoZero"/>
        <c:auto val="1"/>
        <c:lblAlgn val="ctr"/>
        <c:lblOffset val="100"/>
        <c:noMultiLvlLbl val="0"/>
      </c:catAx>
      <c:valAx>
        <c:axId val="1542802863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18221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646691972268406"/>
          <c:y val="0.1205193630833002"/>
          <c:w val="0.3131582854931978"/>
          <c:h val="5.65330440831337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baseline="0">
                <a:solidFill>
                  <a:schemeClr val="bg1">
                    <a:lumMod val="95000"/>
                  </a:schemeClr>
                </a:solidFill>
              </a:rPr>
              <a:t>NEXUS — Galaxy </a:t>
            </a:r>
            <a:endParaRPr lang="en-US">
              <a:solidFill>
                <a:schemeClr val="bg1">
                  <a:lumMod val="9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428258967629047E-2"/>
          <c:y val="0.17634259259259263"/>
          <c:w val="0.8730857392825897"/>
          <c:h val="0.6714577865266842"/>
        </c:manualLayout>
      </c:layout>
      <c:bubbleChart>
        <c:varyColors val="0"/>
        <c:ser>
          <c:idx val="0"/>
          <c:order val="0"/>
          <c:tx>
            <c:strRef>
              <c:f>GALAXY!$A$5</c:f>
              <c:strCache>
                <c:ptCount val="1"/>
                <c:pt idx="0">
                  <c:v>AAPL</c:v>
                </c:pt>
              </c:strCache>
            </c:strRef>
          </c:tx>
          <c:spPr>
            <a:solidFill>
              <a:srgbClr val="0070C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</c:spPr>
          <c:invertIfNegative val="0"/>
          <c:dLbls>
            <c:delete val="1"/>
          </c:dLbls>
          <c:xVal>
            <c:numRef>
              <c:f>GALAXY!$B$5</c:f>
              <c:numCache>
                <c:formatCode>0.00%</c:formatCode>
                <c:ptCount val="1"/>
                <c:pt idx="0">
                  <c:v>0.22094304203767171</c:v>
                </c:pt>
              </c:numCache>
            </c:numRef>
          </c:xVal>
          <c:yVal>
            <c:numRef>
              <c:f>GALAXY!$C$5</c:f>
              <c:numCache>
                <c:formatCode>General</c:formatCode>
                <c:ptCount val="1"/>
                <c:pt idx="0">
                  <c:v>0.84062491620938884</c:v>
                </c:pt>
              </c:numCache>
            </c:numRef>
          </c:yVal>
          <c:bubbleSize>
            <c:numRef>
              <c:f>GALAXY!$E$5</c:f>
              <c:numCache>
                <c:formatCode>General"B"</c:formatCode>
                <c:ptCount val="1"/>
                <c:pt idx="0">
                  <c:v>3154.2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C823-4B5A-8219-C44C7219A1EF}"/>
            </c:ext>
          </c:extLst>
        </c:ser>
        <c:ser>
          <c:idx val="1"/>
          <c:order val="1"/>
          <c:tx>
            <c:strRef>
              <c:f>GALAXY!$A$6</c:f>
              <c:strCache>
                <c:ptCount val="1"/>
                <c:pt idx="0">
                  <c:v>MSFT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>
              <a:glow rad="228600">
                <a:schemeClr val="accent6">
                  <a:satMod val="175000"/>
                  <a:alpha val="40000"/>
                </a:schemeClr>
              </a:glow>
            </a:effectLst>
          </c:spPr>
          <c:invertIfNegative val="0"/>
          <c:dLbls>
            <c:delete val="1"/>
          </c:dLbls>
          <c:xVal>
            <c:numRef>
              <c:f>GALAXY!$B$6</c:f>
              <c:numCache>
                <c:formatCode>0.00%</c:formatCode>
                <c:ptCount val="1"/>
                <c:pt idx="0">
                  <c:v>0.21315907933537137</c:v>
                </c:pt>
              </c:numCache>
            </c:numRef>
          </c:xVal>
          <c:yVal>
            <c:numRef>
              <c:f>GALAXY!$C$6</c:f>
              <c:numCache>
                <c:formatCode>General</c:formatCode>
                <c:ptCount val="1"/>
                <c:pt idx="0">
                  <c:v>0.8280605653672003</c:v>
                </c:pt>
              </c:numCache>
            </c:numRef>
          </c:yVal>
          <c:bubbleSize>
            <c:numRef>
              <c:f>GALAXY!$E$6</c:f>
              <c:numCache>
                <c:formatCode>General"B"</c:formatCode>
                <c:ptCount val="1"/>
                <c:pt idx="0">
                  <c:v>3071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C823-4B5A-8219-C44C7219A1EF}"/>
            </c:ext>
          </c:extLst>
        </c:ser>
        <c:ser>
          <c:idx val="2"/>
          <c:order val="2"/>
          <c:tx>
            <c:strRef>
              <c:f>GALAXY!$A$7</c:f>
              <c:strCache>
                <c:ptCount val="1"/>
                <c:pt idx="0">
                  <c:v>S&amp;P 500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>
              <a:glow rad="228600">
                <a:schemeClr val="accent2">
                  <a:satMod val="175000"/>
                  <a:alpha val="40000"/>
                </a:schemeClr>
              </a:glow>
            </a:effectLst>
          </c:spPr>
          <c:invertIfNegative val="0"/>
          <c:dLbls>
            <c:delete val="1"/>
          </c:dLbls>
          <c:xVal>
            <c:numRef>
              <c:f>GALAXY!$B$7</c:f>
              <c:numCache>
                <c:formatCode>0.00%</c:formatCode>
                <c:ptCount val="1"/>
                <c:pt idx="0">
                  <c:v>0.15549755677224089</c:v>
                </c:pt>
              </c:numCache>
            </c:numRef>
          </c:xVal>
          <c:yVal>
            <c:numRef>
              <c:f>GALAXY!$C$7</c:f>
              <c:numCache>
                <c:formatCode>General</c:formatCode>
                <c:ptCount val="1"/>
                <c:pt idx="0">
                  <c:v>0.50694659407174358</c:v>
                </c:pt>
              </c:numCache>
            </c:numRef>
          </c:yVal>
          <c:bubbleSize>
            <c:numRef>
              <c:f>GALAXY!$E$7</c:f>
              <c:numCache>
                <c:formatCode>General"B"</c:formatCode>
                <c:ptCount val="1"/>
                <c:pt idx="0">
                  <c:v>50000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4-C823-4B5A-8219-C44C7219A1E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91920704"/>
        <c:axId val="118904304"/>
      </c:bubbleChart>
      <c:valAx>
        <c:axId val="91920704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solidFill>
            <a:schemeClr val="tx1"/>
          </a:solidFill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904304"/>
        <c:crosses val="autoZero"/>
        <c:crossBetween val="midCat"/>
      </c:valAx>
      <c:valAx>
        <c:axId val="118904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20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35082524059492565"/>
          <c:y val="0.68576334208223977"/>
          <c:w val="0.33168285214348209"/>
          <c:h val="7.8125546806649168E-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9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72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>
      <a:latin typeface="Calibri"/>
    </cs:defRPr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26" Type="http://schemas.openxmlformats.org/officeDocument/2006/relationships/image" Target="../media/image20.svg"/><Relationship Id="rId3" Type="http://schemas.openxmlformats.org/officeDocument/2006/relationships/image" Target="../media/image3.png"/><Relationship Id="rId21" Type="http://schemas.openxmlformats.org/officeDocument/2006/relationships/chart" Target="../charts/chart3.xml"/><Relationship Id="rId34" Type="http://schemas.openxmlformats.org/officeDocument/2006/relationships/image" Target="../media/image27.sv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19.png"/><Relationship Id="rId33" Type="http://schemas.openxmlformats.org/officeDocument/2006/relationships/image" Target="../media/image26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chart" Target="../charts/chart2.xml"/><Relationship Id="rId29" Type="http://schemas.openxmlformats.org/officeDocument/2006/relationships/chart" Target="../charts/chart7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24" Type="http://schemas.openxmlformats.org/officeDocument/2006/relationships/chart" Target="../charts/chart6.xml"/><Relationship Id="rId32" Type="http://schemas.openxmlformats.org/officeDocument/2006/relationships/image" Target="../media/image25.sv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chart" Target="../charts/chart5.xml"/><Relationship Id="rId28" Type="http://schemas.openxmlformats.org/officeDocument/2006/relationships/image" Target="../media/image22.svg"/><Relationship Id="rId36" Type="http://schemas.openxmlformats.org/officeDocument/2006/relationships/image" Target="../media/image29.svg"/><Relationship Id="rId10" Type="http://schemas.openxmlformats.org/officeDocument/2006/relationships/image" Target="../media/image10.svg"/><Relationship Id="rId19" Type="http://schemas.openxmlformats.org/officeDocument/2006/relationships/chart" Target="../charts/chart1.xml"/><Relationship Id="rId31" Type="http://schemas.openxmlformats.org/officeDocument/2006/relationships/image" Target="../media/image24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chart" Target="../charts/chart4.xml"/><Relationship Id="rId27" Type="http://schemas.openxmlformats.org/officeDocument/2006/relationships/image" Target="../media/image21.png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134787</xdr:colOff>
      <xdr:row>0</xdr:row>
      <xdr:rowOff>35943</xdr:rowOff>
    </xdr:from>
    <xdr:to>
      <xdr:col>21</xdr:col>
      <xdr:colOff>200025</xdr:colOff>
      <xdr:row>51</xdr:row>
      <xdr:rowOff>21897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423BEE5C-4E64-96D6-5AEA-27DDB0EAA092}"/>
            </a:ext>
          </a:extLst>
        </xdr:cNvPr>
        <xdr:cNvSpPr/>
      </xdr:nvSpPr>
      <xdr:spPr>
        <a:xfrm>
          <a:off x="2379966" y="35943"/>
          <a:ext cx="11087023" cy="9899730"/>
        </a:xfrm>
        <a:prstGeom prst="roundRect">
          <a:avLst>
            <a:gd name="adj" fmla="val 1361"/>
          </a:avLst>
        </a:prstGeom>
        <a:solidFill>
          <a:schemeClr val="accent6">
            <a:lumMod val="40000"/>
            <a:lumOff val="60000"/>
          </a:schemeClr>
        </a:solidFill>
        <a:ln w="38100"/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305519</xdr:colOff>
      <xdr:row>3</xdr:row>
      <xdr:rowOff>150963</xdr:rowOff>
    </xdr:from>
    <xdr:to>
      <xdr:col>5</xdr:col>
      <xdr:colOff>566108</xdr:colOff>
      <xdr:row>11</xdr:row>
      <xdr:rowOff>25161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5EB82FF0-61FF-15D2-9C03-45A5EE72CF71}"/>
            </a:ext>
          </a:extLst>
        </xdr:cNvPr>
        <xdr:cNvSpPr/>
      </xdr:nvSpPr>
      <xdr:spPr>
        <a:xfrm>
          <a:off x="2134319" y="722463"/>
          <a:ext cx="1479789" cy="139819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REVENUE</a:t>
          </a:r>
        </a:p>
      </xdr:txBody>
    </xdr:sp>
    <xdr:clientData/>
  </xdr:twoCellAnchor>
  <xdr:twoCellAnchor>
    <xdr:from>
      <xdr:col>18</xdr:col>
      <xdr:colOff>332117</xdr:colOff>
      <xdr:row>3</xdr:row>
      <xdr:rowOff>150963</xdr:rowOff>
    </xdr:from>
    <xdr:to>
      <xdr:col>20</xdr:col>
      <xdr:colOff>592706</xdr:colOff>
      <xdr:row>11</xdr:row>
      <xdr:rowOff>25161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1CD0A8C-71E9-4C8A-9B41-4751AD00C782}"/>
            </a:ext>
          </a:extLst>
        </xdr:cNvPr>
        <xdr:cNvSpPr/>
      </xdr:nvSpPr>
      <xdr:spPr>
        <a:xfrm>
          <a:off x="11304917" y="722463"/>
          <a:ext cx="1479789" cy="139819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NET MARGIN</a:t>
          </a:r>
        </a:p>
      </xdr:txBody>
    </xdr:sp>
    <xdr:clientData/>
  </xdr:twoCellAnchor>
  <xdr:twoCellAnchor>
    <xdr:from>
      <xdr:col>6</xdr:col>
      <xdr:colOff>310839</xdr:colOff>
      <xdr:row>3</xdr:row>
      <xdr:rowOff>150963</xdr:rowOff>
    </xdr:from>
    <xdr:to>
      <xdr:col>8</xdr:col>
      <xdr:colOff>571428</xdr:colOff>
      <xdr:row>11</xdr:row>
      <xdr:rowOff>25161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651DF377-65A8-4F88-B899-2DBD8D0A209F}"/>
            </a:ext>
          </a:extLst>
        </xdr:cNvPr>
        <xdr:cNvSpPr/>
      </xdr:nvSpPr>
      <xdr:spPr>
        <a:xfrm>
          <a:off x="3977065" y="717071"/>
          <a:ext cx="1482665" cy="138382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NET</a:t>
          </a:r>
          <a:r>
            <a:rPr lang="en-US" sz="1400" b="1" baseline="0"/>
            <a:t> INCOME</a:t>
          </a:r>
          <a:endParaRPr lang="en-US" sz="1400" b="1"/>
        </a:p>
      </xdr:txBody>
    </xdr:sp>
    <xdr:clientData/>
  </xdr:twoCellAnchor>
  <xdr:twoCellAnchor>
    <xdr:from>
      <xdr:col>9</xdr:col>
      <xdr:colOff>316158</xdr:colOff>
      <xdr:row>3</xdr:row>
      <xdr:rowOff>150963</xdr:rowOff>
    </xdr:from>
    <xdr:to>
      <xdr:col>11</xdr:col>
      <xdr:colOff>576748</xdr:colOff>
      <xdr:row>11</xdr:row>
      <xdr:rowOff>25161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EF3B5068-0483-4B64-9B74-069A0863A8B5}"/>
            </a:ext>
          </a:extLst>
        </xdr:cNvPr>
        <xdr:cNvSpPr/>
      </xdr:nvSpPr>
      <xdr:spPr>
        <a:xfrm>
          <a:off x="5815498" y="717071"/>
          <a:ext cx="1482665" cy="138382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FCF</a:t>
          </a:r>
        </a:p>
      </xdr:txBody>
    </xdr:sp>
    <xdr:clientData/>
  </xdr:twoCellAnchor>
  <xdr:twoCellAnchor>
    <xdr:from>
      <xdr:col>12</xdr:col>
      <xdr:colOff>321478</xdr:colOff>
      <xdr:row>3</xdr:row>
      <xdr:rowOff>150963</xdr:rowOff>
    </xdr:from>
    <xdr:to>
      <xdr:col>14</xdr:col>
      <xdr:colOff>582068</xdr:colOff>
      <xdr:row>11</xdr:row>
      <xdr:rowOff>25161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2FD2A25D-B030-41CB-9462-18AEAB10361D}"/>
            </a:ext>
          </a:extLst>
        </xdr:cNvPr>
        <xdr:cNvSpPr/>
      </xdr:nvSpPr>
      <xdr:spPr>
        <a:xfrm>
          <a:off x="7636678" y="722463"/>
          <a:ext cx="1479790" cy="139819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EPS</a:t>
          </a:r>
        </a:p>
      </xdr:txBody>
    </xdr:sp>
    <xdr:clientData/>
  </xdr:twoCellAnchor>
  <xdr:twoCellAnchor>
    <xdr:from>
      <xdr:col>15</xdr:col>
      <xdr:colOff>326798</xdr:colOff>
      <xdr:row>3</xdr:row>
      <xdr:rowOff>150963</xdr:rowOff>
    </xdr:from>
    <xdr:to>
      <xdr:col>17</xdr:col>
      <xdr:colOff>587387</xdr:colOff>
      <xdr:row>11</xdr:row>
      <xdr:rowOff>25161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CCDC460A-F03A-4881-A886-D19B187E667F}"/>
            </a:ext>
          </a:extLst>
        </xdr:cNvPr>
        <xdr:cNvSpPr/>
      </xdr:nvSpPr>
      <xdr:spPr>
        <a:xfrm>
          <a:off x="9470798" y="722463"/>
          <a:ext cx="1479789" cy="139819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GROSS MARGIN</a:t>
          </a:r>
        </a:p>
      </xdr:txBody>
    </xdr:sp>
    <xdr:clientData/>
  </xdr:twoCellAnchor>
  <xdr:twoCellAnchor>
    <xdr:from>
      <xdr:col>3</xdr:col>
      <xdr:colOff>305519</xdr:colOff>
      <xdr:row>12</xdr:row>
      <xdr:rowOff>80873</xdr:rowOff>
    </xdr:from>
    <xdr:to>
      <xdr:col>9</xdr:col>
      <xdr:colOff>539150</xdr:colOff>
      <xdr:row>29</xdr:row>
      <xdr:rowOff>80873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2BC57A5E-2453-9F42-A1AF-6C31E1D5DE77}"/>
            </a:ext>
          </a:extLst>
        </xdr:cNvPr>
        <xdr:cNvSpPr/>
      </xdr:nvSpPr>
      <xdr:spPr>
        <a:xfrm>
          <a:off x="2134319" y="2366873"/>
          <a:ext cx="3891231" cy="32385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chemeClr val="accent6"/>
              </a:solidFill>
            </a:rPr>
            <a:t>       </a:t>
          </a:r>
          <a:r>
            <a:rPr lang="en-US" sz="1800" b="1">
              <a:solidFill>
                <a:schemeClr val="accent6"/>
              </a:solidFill>
            </a:rPr>
            <a:t>Valuation</a:t>
          </a:r>
        </a:p>
        <a:p>
          <a:pPr algn="l"/>
          <a:endParaRPr lang="en-US" sz="1800" b="1">
            <a:solidFill>
              <a:schemeClr val="accent6"/>
            </a:solidFill>
          </a:endParaRPr>
        </a:p>
        <a:p>
          <a:pPr algn="l"/>
          <a:r>
            <a:rPr lang="en-US" sz="1400" b="1">
              <a:solidFill>
                <a:schemeClr val="accent6"/>
              </a:solidFill>
            </a:rPr>
            <a:t>       Fair</a:t>
          </a:r>
          <a:r>
            <a:rPr lang="en-US" sz="1400" b="1" baseline="0">
              <a:solidFill>
                <a:schemeClr val="accent6"/>
              </a:solidFill>
            </a:rPr>
            <a:t> Value        </a:t>
          </a:r>
        </a:p>
        <a:p>
          <a:pPr algn="l"/>
          <a:endParaRPr lang="en-US" sz="1400" b="1" baseline="0">
            <a:solidFill>
              <a:schemeClr val="accent6"/>
            </a:solidFill>
          </a:endParaRPr>
        </a:p>
        <a:p>
          <a:pPr algn="l"/>
          <a:r>
            <a:rPr lang="en-US" sz="1400" b="1" baseline="0">
              <a:solidFill>
                <a:schemeClr val="accent6"/>
              </a:solidFill>
            </a:rPr>
            <a:t>       Current	</a:t>
          </a:r>
        </a:p>
        <a:p>
          <a:pPr algn="l"/>
          <a:endParaRPr lang="en-US" sz="1400" b="1" baseline="0">
            <a:solidFill>
              <a:schemeClr val="accent6"/>
            </a:solidFill>
          </a:endParaRPr>
        </a:p>
        <a:p>
          <a:pPr algn="l"/>
          <a:r>
            <a:rPr lang="en-US" sz="1400" b="1" baseline="0">
              <a:solidFill>
                <a:schemeClr val="accent6"/>
              </a:solidFill>
            </a:rPr>
            <a:t>       </a:t>
          </a:r>
        </a:p>
        <a:p>
          <a:pPr algn="l"/>
          <a:endParaRPr lang="en-US" sz="1400" b="1" baseline="0">
            <a:solidFill>
              <a:schemeClr val="accent6"/>
            </a:solidFill>
          </a:endParaRPr>
        </a:p>
        <a:p>
          <a:pPr algn="l"/>
          <a:r>
            <a:rPr lang="en-US" sz="1400" b="1" baseline="0">
              <a:solidFill>
                <a:schemeClr val="accent6"/>
              </a:solidFill>
            </a:rPr>
            <a:t>       Enterprise</a:t>
          </a:r>
        </a:p>
        <a:p>
          <a:pPr algn="l"/>
          <a:endParaRPr lang="en-US" sz="1400" b="1" baseline="0">
            <a:solidFill>
              <a:schemeClr val="accent6"/>
            </a:solidFill>
          </a:endParaRPr>
        </a:p>
        <a:p>
          <a:pPr algn="l"/>
          <a:r>
            <a:rPr lang="en-US" sz="1400" b="1" baseline="0">
              <a:solidFill>
                <a:schemeClr val="accent6"/>
              </a:solidFill>
            </a:rPr>
            <a:t>       Wacc</a:t>
          </a:r>
        </a:p>
        <a:p>
          <a:pPr algn="l"/>
          <a:endParaRPr lang="en-US" sz="1400" b="1" baseline="0">
            <a:solidFill>
              <a:schemeClr val="accent6"/>
            </a:solidFill>
          </a:endParaRPr>
        </a:p>
        <a:p>
          <a:pPr algn="l"/>
          <a:r>
            <a:rPr lang="en-US" sz="1400" b="1" baseline="0">
              <a:solidFill>
                <a:schemeClr val="accent6"/>
              </a:solidFill>
            </a:rPr>
            <a:t>       Term Growth</a:t>
          </a:r>
        </a:p>
      </xdr:txBody>
    </xdr:sp>
    <xdr:clientData/>
  </xdr:twoCellAnchor>
  <xdr:twoCellAnchor>
    <xdr:from>
      <xdr:col>10</xdr:col>
      <xdr:colOff>53915</xdr:colOff>
      <xdr:row>12</xdr:row>
      <xdr:rowOff>80873</xdr:rowOff>
    </xdr:from>
    <xdr:to>
      <xdr:col>15</xdr:col>
      <xdr:colOff>71887</xdr:colOff>
      <xdr:row>29</xdr:row>
      <xdr:rowOff>80873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29D83CDD-818B-7E73-E936-BE78835874D1}"/>
            </a:ext>
          </a:extLst>
        </xdr:cNvPr>
        <xdr:cNvSpPr/>
      </xdr:nvSpPr>
      <xdr:spPr>
        <a:xfrm>
          <a:off x="6585344" y="2413526"/>
          <a:ext cx="3079579" cy="330459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      </a:t>
          </a:r>
          <a:r>
            <a:rPr lang="en-US" sz="1800" baseline="0"/>
            <a:t> </a:t>
          </a:r>
          <a:r>
            <a:rPr lang="en-US" sz="1800" b="1">
              <a:solidFill>
                <a:schemeClr val="accent6"/>
              </a:solidFill>
            </a:rPr>
            <a:t>Port</a:t>
          </a:r>
          <a:r>
            <a:rPr lang="en-US" sz="1800" b="1" baseline="0">
              <a:solidFill>
                <a:schemeClr val="accent6"/>
              </a:solidFill>
            </a:rPr>
            <a:t>folio Stats</a:t>
          </a:r>
        </a:p>
        <a:p>
          <a:pPr algn="l"/>
          <a:endParaRPr lang="en-US" sz="1400" b="1" baseline="0">
            <a:solidFill>
              <a:schemeClr val="accent6"/>
            </a:solidFill>
          </a:endParaRPr>
        </a:p>
        <a:p>
          <a:pPr algn="l"/>
          <a:r>
            <a:rPr lang="en-US" sz="1400" b="1" baseline="0">
              <a:solidFill>
                <a:schemeClr val="accent6"/>
              </a:solidFill>
            </a:rPr>
            <a:t>         Beta</a:t>
          </a:r>
        </a:p>
        <a:p>
          <a:pPr algn="l"/>
          <a:r>
            <a:rPr lang="en-US" sz="1400" b="1" baseline="0">
              <a:solidFill>
                <a:schemeClr val="accent6"/>
              </a:solidFill>
            </a:rPr>
            <a:t>        </a:t>
          </a:r>
        </a:p>
        <a:p>
          <a:pPr algn="l"/>
          <a:r>
            <a:rPr lang="en-US" sz="1400" b="1" baseline="0">
              <a:solidFill>
                <a:schemeClr val="accent6"/>
              </a:solidFill>
            </a:rPr>
            <a:t>         Sharp Ratio</a:t>
          </a:r>
        </a:p>
        <a:p>
          <a:pPr algn="l"/>
          <a:endParaRPr lang="en-US" sz="1400" b="1" baseline="0">
            <a:solidFill>
              <a:schemeClr val="accent6"/>
            </a:solidFill>
          </a:endParaRPr>
        </a:p>
        <a:p>
          <a:pPr algn="l"/>
          <a:r>
            <a:rPr lang="en-US" sz="1400" b="1" baseline="0">
              <a:solidFill>
                <a:schemeClr val="accent6"/>
              </a:solidFill>
            </a:rPr>
            <a:t>         Volatility</a:t>
          </a:r>
        </a:p>
        <a:p>
          <a:pPr algn="l"/>
          <a:endParaRPr lang="en-US" sz="1400" b="1" baseline="0">
            <a:solidFill>
              <a:schemeClr val="accent6"/>
            </a:solidFill>
          </a:endParaRPr>
        </a:p>
        <a:p>
          <a:pPr algn="l"/>
          <a:r>
            <a:rPr lang="en-US" sz="1400" b="1" baseline="0">
              <a:solidFill>
                <a:schemeClr val="accent6"/>
              </a:solidFill>
            </a:rPr>
            <a:t>         Cumulative Ret</a:t>
          </a:r>
        </a:p>
        <a:p>
          <a:pPr algn="l"/>
          <a:r>
            <a:rPr lang="en-US" sz="1400" b="1" baseline="0">
              <a:solidFill>
                <a:schemeClr val="accent6"/>
              </a:solidFill>
            </a:rPr>
            <a:t>  </a:t>
          </a:r>
        </a:p>
        <a:p>
          <a:pPr algn="l"/>
          <a:r>
            <a:rPr lang="en-US" sz="1400" b="1" baseline="0">
              <a:solidFill>
                <a:schemeClr val="accent6"/>
              </a:solidFill>
            </a:rPr>
            <a:t>         Corelation</a:t>
          </a:r>
          <a:endParaRPr lang="en-US" sz="1100" b="0" baseline="0">
            <a:solidFill>
              <a:schemeClr val="lt1"/>
            </a:solidFill>
          </a:endParaRPr>
        </a:p>
        <a:p>
          <a:pPr algn="l"/>
          <a:endParaRPr lang="en-US" sz="1100" b="0" baseline="0">
            <a:solidFill>
              <a:schemeClr val="lt1"/>
            </a:solidFill>
          </a:endParaRPr>
        </a:p>
        <a:p>
          <a:pPr algn="l"/>
          <a:r>
            <a:rPr lang="en-US" sz="1100" b="0" baseline="0">
              <a:solidFill>
                <a:schemeClr val="lt1"/>
              </a:solidFill>
            </a:rPr>
            <a:t>           </a:t>
          </a:r>
          <a:endParaRPr lang="en-US" sz="1400" b="1" baseline="0">
            <a:solidFill>
              <a:schemeClr val="accent6"/>
            </a:solidFill>
          </a:endParaRPr>
        </a:p>
      </xdr:txBody>
    </xdr:sp>
    <xdr:clientData/>
  </xdr:twoCellAnchor>
  <xdr:twoCellAnchor>
    <xdr:from>
      <xdr:col>15</xdr:col>
      <xdr:colOff>197689</xdr:colOff>
      <xdr:row>12</xdr:row>
      <xdr:rowOff>89858</xdr:rowOff>
    </xdr:from>
    <xdr:to>
      <xdr:col>21</xdr:col>
      <xdr:colOff>0</xdr:colOff>
      <xdr:row>29</xdr:row>
      <xdr:rowOff>71887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1065096F-CD77-9C99-DF47-8F3272765043}"/>
            </a:ext>
          </a:extLst>
        </xdr:cNvPr>
        <xdr:cNvSpPr/>
      </xdr:nvSpPr>
      <xdr:spPr>
        <a:xfrm>
          <a:off x="9341689" y="2375858"/>
          <a:ext cx="3459911" cy="322052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0" baseline="0">
              <a:solidFill>
                <a:schemeClr val="lt1"/>
              </a:solidFill>
            </a:rPr>
            <a:t>       </a:t>
          </a:r>
        </a:p>
        <a:p>
          <a:pPr algn="l"/>
          <a:r>
            <a:rPr lang="en-US" sz="1800" b="0" baseline="0">
              <a:solidFill>
                <a:schemeClr val="lt1"/>
              </a:solidFill>
            </a:rPr>
            <a:t>       </a:t>
          </a:r>
          <a:r>
            <a:rPr lang="en-US" sz="1800" b="1">
              <a:solidFill>
                <a:schemeClr val="accent6">
                  <a:lumMod val="75000"/>
                </a:schemeClr>
              </a:solidFill>
            </a:rPr>
            <a:t>TRENDS    </a:t>
          </a:r>
        </a:p>
        <a:p>
          <a:pPr algn="l"/>
          <a:endParaRPr lang="en-US" sz="1800">
            <a:solidFill>
              <a:schemeClr val="accent6">
                <a:lumMod val="75000"/>
              </a:schemeClr>
            </a:solidFill>
          </a:endParaRPr>
        </a:p>
        <a:p>
          <a:pPr algn="l"/>
          <a:r>
            <a:rPr lang="en-US" sz="1800" b="1">
              <a:solidFill>
                <a:schemeClr val="accent6">
                  <a:lumMod val="75000"/>
                </a:schemeClr>
              </a:solidFill>
            </a:rPr>
            <a:t>       Revenue        </a:t>
          </a:r>
        </a:p>
        <a:p>
          <a:pPr algn="l"/>
          <a:endParaRPr lang="en-US" sz="1800">
            <a:solidFill>
              <a:schemeClr val="accent6">
                <a:lumMod val="75000"/>
              </a:schemeClr>
            </a:solidFill>
          </a:endParaRPr>
        </a:p>
        <a:p>
          <a:pPr algn="l"/>
          <a:r>
            <a:rPr lang="en-US" sz="1800" b="1">
              <a:solidFill>
                <a:schemeClr val="accent6">
                  <a:lumMod val="75000"/>
                </a:schemeClr>
              </a:solidFill>
            </a:rPr>
            <a:t>       Net</a:t>
          </a:r>
          <a:r>
            <a:rPr lang="en-US" sz="1800" b="1" baseline="0">
              <a:solidFill>
                <a:schemeClr val="accent6">
                  <a:lumMod val="75000"/>
                </a:schemeClr>
              </a:solidFill>
            </a:rPr>
            <a:t> Income</a:t>
          </a:r>
        </a:p>
        <a:p>
          <a:pPr algn="l"/>
          <a:endParaRPr lang="en-US" sz="1800" baseline="0">
            <a:solidFill>
              <a:schemeClr val="accent6">
                <a:lumMod val="75000"/>
              </a:schemeClr>
            </a:solidFill>
          </a:endParaRPr>
        </a:p>
        <a:p>
          <a:pPr algn="l"/>
          <a:r>
            <a:rPr lang="en-US" sz="1800" b="1" baseline="0">
              <a:solidFill>
                <a:schemeClr val="accent6">
                  <a:lumMod val="75000"/>
                </a:schemeClr>
              </a:solidFill>
            </a:rPr>
            <a:t>       FCF</a:t>
          </a:r>
        </a:p>
        <a:p>
          <a:pPr algn="l"/>
          <a:endParaRPr lang="en-US" sz="1800" baseline="0">
            <a:solidFill>
              <a:schemeClr val="accent6">
                <a:lumMod val="75000"/>
              </a:schemeClr>
            </a:solidFill>
          </a:endParaRPr>
        </a:p>
        <a:p>
          <a:pPr algn="l"/>
          <a:r>
            <a:rPr lang="en-US" sz="1800" b="1" baseline="0">
              <a:solidFill>
                <a:schemeClr val="accent6">
                  <a:lumMod val="75000"/>
                </a:schemeClr>
              </a:solidFill>
            </a:rPr>
            <a:t>       Stock</a:t>
          </a:r>
          <a:endParaRPr lang="en-US" sz="18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3</xdr:col>
      <xdr:colOff>383293</xdr:colOff>
      <xdr:row>31</xdr:row>
      <xdr:rowOff>111755</xdr:rowOff>
    </xdr:from>
    <xdr:to>
      <xdr:col>12</xdr:col>
      <xdr:colOff>392279</xdr:colOff>
      <xdr:row>44</xdr:row>
      <xdr:rowOff>111755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DE2A4089-4F66-0CA3-E431-B7C0FF481B75}"/>
            </a:ext>
          </a:extLst>
        </xdr:cNvPr>
        <xdr:cNvSpPr/>
      </xdr:nvSpPr>
      <xdr:spPr>
        <a:xfrm>
          <a:off x="2222603" y="5881496"/>
          <a:ext cx="5526917" cy="241956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1">
              <a:solidFill>
                <a:schemeClr val="accent6"/>
              </a:solidFill>
            </a:rPr>
            <a:t>     SCENARIO IMPACT</a:t>
          </a:r>
        </a:p>
        <a:p>
          <a:pPr algn="l"/>
          <a:endParaRPr lang="en-US" sz="1600" b="1">
            <a:solidFill>
              <a:schemeClr val="accent6"/>
            </a:solidFill>
          </a:endParaRPr>
        </a:p>
        <a:p>
          <a:pPr algn="l"/>
          <a:r>
            <a:rPr lang="en-US" sz="1600" b="1">
              <a:solidFill>
                <a:srgbClr val="FF0000"/>
              </a:solidFill>
              <a:latin typeface="Arial Narrow" panose="020B0606020202030204" pitchFamily="34" charset="0"/>
            </a:rPr>
            <a:t>Bear</a:t>
          </a:r>
          <a:r>
            <a:rPr lang="en-US" sz="1600" b="1" baseline="0">
              <a:solidFill>
                <a:srgbClr val="FF0000"/>
              </a:solidFill>
              <a:latin typeface="Arial Narrow" panose="020B0606020202030204" pitchFamily="34" charset="0"/>
            </a:rPr>
            <a:t> $101					-51.9%</a:t>
          </a:r>
        </a:p>
        <a:p>
          <a:pPr algn="l"/>
          <a:endParaRPr lang="en-US" sz="1600" b="1" baseline="0">
            <a:solidFill>
              <a:schemeClr val="accent6"/>
            </a:solidFill>
          </a:endParaRPr>
        </a:p>
        <a:p>
          <a:pPr algn="l"/>
          <a:endParaRPr lang="en-US" sz="1600" b="1" baseline="0">
            <a:solidFill>
              <a:schemeClr val="accent6"/>
            </a:solidFill>
          </a:endParaRPr>
        </a:p>
        <a:p>
          <a:pPr algn="l"/>
          <a:r>
            <a:rPr lang="en-US" sz="1600" b="1" baseline="0">
              <a:solidFill>
                <a:schemeClr val="accent1">
                  <a:lumMod val="75000"/>
                </a:schemeClr>
              </a:solidFill>
              <a:latin typeface="Arial Narrow" panose="020B0606020202030204" pitchFamily="34" charset="0"/>
            </a:rPr>
            <a:t>Base $143					-31.9%</a:t>
          </a:r>
        </a:p>
        <a:p>
          <a:pPr algn="l"/>
          <a:endParaRPr lang="en-US" sz="1600" b="1" baseline="0">
            <a:solidFill>
              <a:schemeClr val="accent6"/>
            </a:solidFill>
          </a:endParaRPr>
        </a:p>
        <a:p>
          <a:pPr algn="l"/>
          <a:endParaRPr lang="en-US" sz="1600" b="1" baseline="0">
            <a:solidFill>
              <a:schemeClr val="accent6"/>
            </a:solidFill>
          </a:endParaRPr>
        </a:p>
        <a:p>
          <a:pPr algn="l"/>
          <a:r>
            <a:rPr lang="en-US" sz="1600" b="1" baseline="0">
              <a:solidFill>
                <a:srgbClr val="7030A0"/>
              </a:solidFill>
              <a:latin typeface="Arial Narrow" panose="020B0606020202030204" pitchFamily="34" charset="0"/>
            </a:rPr>
            <a:t>Bull  $179					-14.8%</a:t>
          </a:r>
          <a:endParaRPr lang="en-US" sz="1600" b="1">
            <a:solidFill>
              <a:srgbClr val="7030A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12</xdr:col>
      <xdr:colOff>476249</xdr:colOff>
      <xdr:row>31</xdr:row>
      <xdr:rowOff>89857</xdr:rowOff>
    </xdr:from>
    <xdr:to>
      <xdr:col>21</xdr:col>
      <xdr:colOff>71887</xdr:colOff>
      <xdr:row>44</xdr:row>
      <xdr:rowOff>116815</xdr:rowOff>
    </xdr:to>
    <xdr:sp macro="" textlink="VALUATION_ENGINE!G56">
      <xdr:nvSpPr>
        <xdr:cNvPr id="22" name="Rectangle 21">
          <a:extLst>
            <a:ext uri="{FF2B5EF4-FFF2-40B4-BE49-F238E27FC236}">
              <a16:creationId xmlns:a16="http://schemas.microsoft.com/office/drawing/2014/main" id="{119FD2F1-6129-4CDD-4E64-B77DE81B9157}"/>
            </a:ext>
          </a:extLst>
        </xdr:cNvPr>
        <xdr:cNvSpPr/>
      </xdr:nvSpPr>
      <xdr:spPr>
        <a:xfrm>
          <a:off x="7833490" y="5859598"/>
          <a:ext cx="5113569" cy="2446527"/>
        </a:xfrm>
        <a:prstGeom prst="rect">
          <a:avLst/>
        </a:prstGeom>
        <a:solidFill>
          <a:srgbClr val="F7DBD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7A67D6A-4F75-499C-BB7F-C73990DE0396}" type="TxLink">
            <a:rPr lang="en-US" sz="1800" b="1" i="0" u="none" strike="noStrike">
              <a:solidFill>
                <a:srgbClr val="C00000"/>
              </a:solidFill>
              <a:latin typeface="Bahnschrift SemiBold" panose="020B0502040204020203" pitchFamily="34" charset="0"/>
              <a:ea typeface="Calibri"/>
              <a:cs typeface="Calibri"/>
            </a:rPr>
            <a:pPr algn="l"/>
            <a:t>⚠  OVERVALUED — Current price $210 exceeds fair value by 47.2%. Exercise caution.</a:t>
          </a:fld>
          <a:endParaRPr lang="en-US" sz="1800">
            <a:solidFill>
              <a:srgbClr val="C00000"/>
            </a:solidFill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3</xdr:col>
      <xdr:colOff>359434</xdr:colOff>
      <xdr:row>45</xdr:row>
      <xdr:rowOff>71888</xdr:rowOff>
    </xdr:from>
    <xdr:to>
      <xdr:col>5</xdr:col>
      <xdr:colOff>521179</xdr:colOff>
      <xdr:row>48</xdr:row>
      <xdr:rowOff>170732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7B59614D-5FB7-E4D0-657D-076CA6B3E2AF}"/>
            </a:ext>
          </a:extLst>
        </xdr:cNvPr>
        <xdr:cNvSpPr/>
      </xdr:nvSpPr>
      <xdr:spPr>
        <a:xfrm>
          <a:off x="2192547" y="8563515"/>
          <a:ext cx="1383821" cy="66495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chemeClr val="accent1">
                  <a:lumMod val="50000"/>
                </a:schemeClr>
              </a:solidFill>
            </a:rPr>
            <a:t>DIVIDEND</a:t>
          </a:r>
        </a:p>
        <a:p>
          <a:pPr algn="l"/>
          <a:r>
            <a:rPr lang="en-US" sz="1100" b="1">
              <a:solidFill>
                <a:schemeClr val="tx2">
                  <a:lumMod val="75000"/>
                </a:schemeClr>
              </a:solidFill>
            </a:rPr>
            <a:t>            $15.4B</a:t>
          </a:r>
        </a:p>
        <a:p>
          <a:pPr algn="ctr"/>
          <a:r>
            <a:rPr lang="en-US" sz="1100" baseline="0"/>
            <a:t> </a:t>
          </a:r>
          <a:endParaRPr lang="en-US" sz="1100"/>
        </a:p>
      </xdr:txBody>
    </xdr:sp>
    <xdr:clientData/>
  </xdr:twoCellAnchor>
  <xdr:twoCellAnchor>
    <xdr:from>
      <xdr:col>6</xdr:col>
      <xdr:colOff>79016</xdr:colOff>
      <xdr:row>45</xdr:row>
      <xdr:rowOff>71888</xdr:rowOff>
    </xdr:from>
    <xdr:to>
      <xdr:col>8</xdr:col>
      <xdr:colOff>240761</xdr:colOff>
      <xdr:row>48</xdr:row>
      <xdr:rowOff>170732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94EF1440-6067-47E7-BB97-191F735BA460}"/>
            </a:ext>
          </a:extLst>
        </xdr:cNvPr>
        <xdr:cNvSpPr/>
      </xdr:nvSpPr>
      <xdr:spPr>
        <a:xfrm>
          <a:off x="3745242" y="8563515"/>
          <a:ext cx="1383821" cy="66495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chemeClr val="accent1">
                  <a:lumMod val="50000"/>
                </a:schemeClr>
              </a:solidFill>
            </a:rPr>
            <a:t>P/E RATIO</a:t>
          </a:r>
        </a:p>
        <a:p>
          <a:pPr algn="l"/>
          <a:r>
            <a:rPr lang="en-US" sz="1100">
              <a:solidFill>
                <a:schemeClr val="accent1">
                  <a:lumMod val="50000"/>
                </a:schemeClr>
              </a:solidFill>
            </a:rPr>
            <a:t>              </a:t>
          </a:r>
          <a:r>
            <a:rPr lang="en-US" sz="1100" b="1">
              <a:solidFill>
                <a:schemeClr val="accent1">
                  <a:lumMod val="50000"/>
                </a:schemeClr>
              </a:solidFill>
            </a:rPr>
            <a:t>28.03x</a:t>
          </a:r>
        </a:p>
        <a:p>
          <a:pPr algn="ctr"/>
          <a:r>
            <a:rPr lang="en-US" sz="1100" b="1">
              <a:solidFill>
                <a:schemeClr val="accent6">
                  <a:lumMod val="50000"/>
                </a:schemeClr>
              </a:solidFill>
            </a:rPr>
            <a:t>vs</a:t>
          </a:r>
          <a:r>
            <a:rPr lang="en-US" sz="1100" b="1" baseline="0">
              <a:solidFill>
                <a:schemeClr val="accent6">
                  <a:lumMod val="50000"/>
                </a:schemeClr>
              </a:solidFill>
            </a:rPr>
            <a:t> Industry 29.6X</a:t>
          </a:r>
          <a:endParaRPr lang="en-US" sz="11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8</xdr:col>
      <xdr:colOff>409635</xdr:colOff>
      <xdr:row>45</xdr:row>
      <xdr:rowOff>71888</xdr:rowOff>
    </xdr:from>
    <xdr:to>
      <xdr:col>10</xdr:col>
      <xdr:colOff>571381</xdr:colOff>
      <xdr:row>48</xdr:row>
      <xdr:rowOff>170732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256D3D40-3EA9-4950-856F-FB1116C90ECE}"/>
            </a:ext>
          </a:extLst>
        </xdr:cNvPr>
        <xdr:cNvSpPr/>
      </xdr:nvSpPr>
      <xdr:spPr>
        <a:xfrm>
          <a:off x="5297937" y="8563515"/>
          <a:ext cx="1383821" cy="66495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chemeClr val="accent1">
                  <a:lumMod val="50000"/>
                </a:schemeClr>
              </a:solidFill>
            </a:rPr>
            <a:t>BUYBACKS</a:t>
          </a:r>
        </a:p>
        <a:p>
          <a:pPr algn="l"/>
          <a:r>
            <a:rPr lang="en-US" sz="1100">
              <a:solidFill>
                <a:schemeClr val="tx2">
                  <a:lumMod val="75000"/>
                </a:schemeClr>
              </a:solidFill>
            </a:rPr>
            <a:t>             </a:t>
          </a:r>
          <a:r>
            <a:rPr lang="en-US" sz="1100" b="1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$90.71B</a:t>
          </a:r>
          <a:endParaRPr lang="en-US" sz="1100">
            <a:solidFill>
              <a:schemeClr val="tx2">
                <a:lumMod val="75000"/>
              </a:schemeClr>
            </a:solidFill>
          </a:endParaRPr>
        </a:p>
        <a:p>
          <a:pPr algn="ctr"/>
          <a:r>
            <a:rPr lang="en-US" sz="1100" b="1">
              <a:solidFill>
                <a:schemeClr val="accent6">
                  <a:lumMod val="50000"/>
                </a:schemeClr>
              </a:solidFill>
            </a:rPr>
            <a:t>TTM</a:t>
          </a:r>
        </a:p>
      </xdr:txBody>
    </xdr:sp>
    <xdr:clientData/>
  </xdr:twoCellAnchor>
  <xdr:twoCellAnchor>
    <xdr:from>
      <xdr:col>11</xdr:col>
      <xdr:colOff>129217</xdr:colOff>
      <xdr:row>45</xdr:row>
      <xdr:rowOff>71888</xdr:rowOff>
    </xdr:from>
    <xdr:to>
      <xdr:col>13</xdr:col>
      <xdr:colOff>290962</xdr:colOff>
      <xdr:row>48</xdr:row>
      <xdr:rowOff>170732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342BCD3A-A47A-43C9-85FB-1E315A5A4952}"/>
            </a:ext>
          </a:extLst>
        </xdr:cNvPr>
        <xdr:cNvSpPr/>
      </xdr:nvSpPr>
      <xdr:spPr>
        <a:xfrm>
          <a:off x="6850632" y="8563515"/>
          <a:ext cx="1383821" cy="66495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chemeClr val="accent1">
                  <a:lumMod val="50000"/>
                </a:schemeClr>
              </a:solidFill>
            </a:rPr>
            <a:t>R&amp;D</a:t>
          </a:r>
          <a:r>
            <a:rPr lang="en-US" sz="1200" b="1" baseline="0">
              <a:solidFill>
                <a:schemeClr val="accent1">
                  <a:lumMod val="50000"/>
                </a:schemeClr>
              </a:solidFill>
            </a:rPr>
            <a:t> EXPENSE</a:t>
          </a:r>
        </a:p>
        <a:p>
          <a:pPr algn="ctr"/>
          <a:r>
            <a:rPr lang="en-US" sz="1200" b="1" baseline="0">
              <a:solidFill>
                <a:schemeClr val="accent1">
                  <a:lumMod val="50000"/>
                </a:schemeClr>
              </a:solidFill>
            </a:rPr>
            <a:t>$34.550 B</a:t>
          </a:r>
        </a:p>
        <a:p>
          <a:pPr algn="ctr"/>
          <a:r>
            <a:rPr lang="en-US" sz="1200" b="1" baseline="0">
              <a:solidFill>
                <a:schemeClr val="accent6">
                  <a:lumMod val="75000"/>
                </a:schemeClr>
              </a:solidFill>
            </a:rPr>
            <a:t>8.17% of Revenue</a:t>
          </a:r>
          <a:endParaRPr lang="en-US" sz="12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13</xdr:col>
      <xdr:colOff>459836</xdr:colOff>
      <xdr:row>45</xdr:row>
      <xdr:rowOff>71888</xdr:rowOff>
    </xdr:from>
    <xdr:to>
      <xdr:col>16</xdr:col>
      <xdr:colOff>10544</xdr:colOff>
      <xdr:row>48</xdr:row>
      <xdr:rowOff>170732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D438D9CB-0DDC-476B-ACE3-67E97907E9C5}"/>
            </a:ext>
          </a:extLst>
        </xdr:cNvPr>
        <xdr:cNvSpPr/>
      </xdr:nvSpPr>
      <xdr:spPr>
        <a:xfrm>
          <a:off x="8403327" y="8563515"/>
          <a:ext cx="1383821" cy="66495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chemeClr val="accent1">
                  <a:lumMod val="50000"/>
                </a:schemeClr>
              </a:solidFill>
            </a:rPr>
            <a:t>DEBT/EQUITY</a:t>
          </a:r>
        </a:p>
        <a:p>
          <a:pPr algn="ctr"/>
          <a:r>
            <a:rPr lang="en-US" sz="1200" b="1">
              <a:solidFill>
                <a:schemeClr val="accent1">
                  <a:lumMod val="50000"/>
                </a:schemeClr>
              </a:solidFill>
            </a:rPr>
            <a:t>1.06</a:t>
          </a:r>
        </a:p>
        <a:p>
          <a:pPr algn="ctr"/>
          <a:r>
            <a:rPr lang="en-US" sz="1200" b="1">
              <a:solidFill>
                <a:schemeClr val="accent6">
                  <a:lumMod val="75000"/>
                </a:schemeClr>
              </a:solidFill>
            </a:rPr>
            <a:t>Low</a:t>
          </a:r>
          <a:r>
            <a:rPr lang="en-US" sz="1200" b="1" baseline="0">
              <a:solidFill>
                <a:schemeClr val="accent6">
                  <a:lumMod val="75000"/>
                </a:schemeClr>
              </a:solidFill>
            </a:rPr>
            <a:t> Risk</a:t>
          </a:r>
          <a:endParaRPr lang="en-US" sz="12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16</xdr:col>
      <xdr:colOff>179418</xdr:colOff>
      <xdr:row>45</xdr:row>
      <xdr:rowOff>71888</xdr:rowOff>
    </xdr:from>
    <xdr:to>
      <xdr:col>18</xdr:col>
      <xdr:colOff>341164</xdr:colOff>
      <xdr:row>48</xdr:row>
      <xdr:rowOff>170732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6EB81124-D98C-4579-8D53-0DA4CA9F09A1}"/>
            </a:ext>
          </a:extLst>
        </xdr:cNvPr>
        <xdr:cNvSpPr/>
      </xdr:nvSpPr>
      <xdr:spPr>
        <a:xfrm>
          <a:off x="9956022" y="8563515"/>
          <a:ext cx="1383821" cy="66495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chemeClr val="accent1">
                  <a:lumMod val="50000"/>
                </a:schemeClr>
              </a:solidFill>
            </a:rPr>
            <a:t>INSIDER OWN</a:t>
          </a:r>
        </a:p>
        <a:p>
          <a:pPr algn="ctr"/>
          <a:r>
            <a:rPr lang="en-US" sz="1200" b="1">
              <a:solidFill>
                <a:schemeClr val="accent1">
                  <a:lumMod val="50000"/>
                </a:schemeClr>
              </a:solidFill>
            </a:rPr>
            <a:t>0.12%</a:t>
          </a:r>
        </a:p>
        <a:p>
          <a:pPr algn="ctr"/>
          <a:r>
            <a:rPr lang="en-US" sz="1200" b="1">
              <a:solidFill>
                <a:schemeClr val="accent6">
                  <a:lumMod val="75000"/>
                </a:schemeClr>
              </a:solidFill>
            </a:rPr>
            <a:t>Low</a:t>
          </a:r>
        </a:p>
      </xdr:txBody>
    </xdr:sp>
    <xdr:clientData/>
  </xdr:twoCellAnchor>
  <xdr:twoCellAnchor>
    <xdr:from>
      <xdr:col>18</xdr:col>
      <xdr:colOff>477193</xdr:colOff>
      <xdr:row>45</xdr:row>
      <xdr:rowOff>71889</xdr:rowOff>
    </xdr:from>
    <xdr:to>
      <xdr:col>21</xdr:col>
      <xdr:colOff>27901</xdr:colOff>
      <xdr:row>48</xdr:row>
      <xdr:rowOff>170733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5EFDF47C-A6FC-4E4C-BF92-0B88BAB9E7D7}"/>
            </a:ext>
          </a:extLst>
        </xdr:cNvPr>
        <xdr:cNvSpPr/>
      </xdr:nvSpPr>
      <xdr:spPr>
        <a:xfrm>
          <a:off x="11513055" y="8447320"/>
          <a:ext cx="1390018" cy="65720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chemeClr val="accent1">
                  <a:lumMod val="50000"/>
                </a:schemeClr>
              </a:solidFill>
            </a:rPr>
            <a:t>ANALYST RATING</a:t>
          </a:r>
        </a:p>
        <a:p>
          <a:pPr algn="ctr"/>
          <a:r>
            <a:rPr lang="en-US" sz="1200" b="1">
              <a:solidFill>
                <a:schemeClr val="accent6">
                  <a:lumMod val="50000"/>
                </a:schemeClr>
              </a:solidFill>
            </a:rPr>
            <a:t>4.3/5</a:t>
          </a:r>
        </a:p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409575</xdr:colOff>
      <xdr:row>5</xdr:row>
      <xdr:rowOff>133350</xdr:rowOff>
    </xdr:from>
    <xdr:to>
      <xdr:col>7</xdr:col>
      <xdr:colOff>165735</xdr:colOff>
      <xdr:row>7</xdr:row>
      <xdr:rowOff>118110</xdr:rowOff>
    </xdr:to>
    <xdr:pic>
      <xdr:nvPicPr>
        <xdr:cNvPr id="31" name="Graphic 30" descr="Bank with solid fill">
          <a:extLst>
            <a:ext uri="{FF2B5EF4-FFF2-40B4-BE49-F238E27FC236}">
              <a16:creationId xmlns:a16="http://schemas.microsoft.com/office/drawing/2014/main" id="{DCD13F91-53E2-814E-D71A-29D686CA7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67175" y="108585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3</xdr:col>
      <xdr:colOff>407175</xdr:colOff>
      <xdr:row>5</xdr:row>
      <xdr:rowOff>133350</xdr:rowOff>
    </xdr:from>
    <xdr:to>
      <xdr:col>4</xdr:col>
      <xdr:colOff>163334</xdr:colOff>
      <xdr:row>7</xdr:row>
      <xdr:rowOff>118110</xdr:rowOff>
    </xdr:to>
    <xdr:pic>
      <xdr:nvPicPr>
        <xdr:cNvPr id="33" name="Graphic 32" descr="Bar graph with upward trend with solid fill">
          <a:extLst>
            <a:ext uri="{FF2B5EF4-FFF2-40B4-BE49-F238E27FC236}">
              <a16:creationId xmlns:a16="http://schemas.microsoft.com/office/drawing/2014/main" id="{5957347F-05D6-0785-FEE4-8C615D7B1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235975" y="108585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12</xdr:col>
      <xdr:colOff>414300</xdr:colOff>
      <xdr:row>5</xdr:row>
      <xdr:rowOff>133350</xdr:rowOff>
    </xdr:from>
    <xdr:to>
      <xdr:col>13</xdr:col>
      <xdr:colOff>170460</xdr:colOff>
      <xdr:row>7</xdr:row>
      <xdr:rowOff>118110</xdr:rowOff>
    </xdr:to>
    <xdr:pic>
      <xdr:nvPicPr>
        <xdr:cNvPr id="35" name="Graphic 34" descr="Rocket with solid fill">
          <a:extLst>
            <a:ext uri="{FF2B5EF4-FFF2-40B4-BE49-F238E27FC236}">
              <a16:creationId xmlns:a16="http://schemas.microsoft.com/office/drawing/2014/main" id="{AB7004D9-A273-E3E4-EAA9-394B679E4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29500" y="108585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15</xdr:col>
      <xdr:colOff>257174</xdr:colOff>
      <xdr:row>22</xdr:row>
      <xdr:rowOff>152400</xdr:rowOff>
    </xdr:from>
    <xdr:to>
      <xdr:col>15</xdr:col>
      <xdr:colOff>571498</xdr:colOff>
      <xdr:row>24</xdr:row>
      <xdr:rowOff>85724</xdr:rowOff>
    </xdr:to>
    <xdr:pic>
      <xdr:nvPicPr>
        <xdr:cNvPr id="37" name="Graphic 36" descr="Money with solid fill">
          <a:extLst>
            <a:ext uri="{FF2B5EF4-FFF2-40B4-BE49-F238E27FC236}">
              <a16:creationId xmlns:a16="http://schemas.microsoft.com/office/drawing/2014/main" id="{F5B6DB38-F6FE-EB77-89A3-856471887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401174" y="4343400"/>
          <a:ext cx="314324" cy="314324"/>
        </a:xfrm>
        <a:prstGeom prst="rect">
          <a:avLst/>
        </a:prstGeom>
      </xdr:spPr>
    </xdr:pic>
    <xdr:clientData/>
  </xdr:twoCellAnchor>
  <xdr:twoCellAnchor editAs="oneCell">
    <xdr:from>
      <xdr:col>15</xdr:col>
      <xdr:colOff>228599</xdr:colOff>
      <xdr:row>25</xdr:row>
      <xdr:rowOff>76200</xdr:rowOff>
    </xdr:from>
    <xdr:to>
      <xdr:col>15</xdr:col>
      <xdr:colOff>600073</xdr:colOff>
      <xdr:row>27</xdr:row>
      <xdr:rowOff>66674</xdr:rowOff>
    </xdr:to>
    <xdr:pic>
      <xdr:nvPicPr>
        <xdr:cNvPr id="39" name="Graphic 38" descr="Upward trend with solid fill">
          <a:extLst>
            <a:ext uri="{FF2B5EF4-FFF2-40B4-BE49-F238E27FC236}">
              <a16:creationId xmlns:a16="http://schemas.microsoft.com/office/drawing/2014/main" id="{9489538E-5AC0-A20B-B6FF-299548E1D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372599" y="4838700"/>
          <a:ext cx="371474" cy="371474"/>
        </a:xfrm>
        <a:prstGeom prst="rect">
          <a:avLst/>
        </a:prstGeom>
      </xdr:spPr>
    </xdr:pic>
    <xdr:clientData/>
  </xdr:twoCellAnchor>
  <xdr:twoCellAnchor editAs="oneCell">
    <xdr:from>
      <xdr:col>15</xdr:col>
      <xdr:colOff>228599</xdr:colOff>
      <xdr:row>16</xdr:row>
      <xdr:rowOff>144492</xdr:rowOff>
    </xdr:from>
    <xdr:to>
      <xdr:col>15</xdr:col>
      <xdr:colOff>599894</xdr:colOff>
      <xdr:row>18</xdr:row>
      <xdr:rowOff>134787</xdr:rowOff>
    </xdr:to>
    <xdr:pic>
      <xdr:nvPicPr>
        <xdr:cNvPr id="40" name="Graphic 39" descr="Bar graph with upward trend with solid fill">
          <a:extLst>
            <a:ext uri="{FF2B5EF4-FFF2-40B4-BE49-F238E27FC236}">
              <a16:creationId xmlns:a16="http://schemas.microsoft.com/office/drawing/2014/main" id="{9CFB5FE4-81ED-4E46-9F66-B6D16B22F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372599" y="3192492"/>
          <a:ext cx="371295" cy="371295"/>
        </a:xfrm>
        <a:prstGeom prst="rect">
          <a:avLst/>
        </a:prstGeom>
      </xdr:spPr>
    </xdr:pic>
    <xdr:clientData/>
  </xdr:twoCellAnchor>
  <xdr:twoCellAnchor editAs="oneCell">
    <xdr:from>
      <xdr:col>15</xdr:col>
      <xdr:colOff>228599</xdr:colOff>
      <xdr:row>19</xdr:row>
      <xdr:rowOff>114480</xdr:rowOff>
    </xdr:from>
    <xdr:to>
      <xdr:col>15</xdr:col>
      <xdr:colOff>609419</xdr:colOff>
      <xdr:row>21</xdr:row>
      <xdr:rowOff>114300</xdr:rowOff>
    </xdr:to>
    <xdr:pic>
      <xdr:nvPicPr>
        <xdr:cNvPr id="41" name="Graphic 40" descr="Bank with solid fill">
          <a:extLst>
            <a:ext uri="{FF2B5EF4-FFF2-40B4-BE49-F238E27FC236}">
              <a16:creationId xmlns:a16="http://schemas.microsoft.com/office/drawing/2014/main" id="{B5DD1D3B-35EE-4D53-A042-44718A43E0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372599" y="3733980"/>
          <a:ext cx="380820" cy="380820"/>
        </a:xfrm>
        <a:prstGeom prst="rect">
          <a:avLst/>
        </a:prstGeom>
      </xdr:spPr>
    </xdr:pic>
    <xdr:clientData/>
  </xdr:twoCellAnchor>
  <xdr:twoCellAnchor editAs="oneCell">
    <xdr:from>
      <xdr:col>9</xdr:col>
      <xdr:colOff>443397</xdr:colOff>
      <xdr:row>5</xdr:row>
      <xdr:rowOff>133350</xdr:rowOff>
    </xdr:from>
    <xdr:to>
      <xdr:col>10</xdr:col>
      <xdr:colOff>199556</xdr:colOff>
      <xdr:row>7</xdr:row>
      <xdr:rowOff>118110</xdr:rowOff>
    </xdr:to>
    <xdr:pic>
      <xdr:nvPicPr>
        <xdr:cNvPr id="42" name="Graphic 41" descr="Money with solid fill">
          <a:extLst>
            <a:ext uri="{FF2B5EF4-FFF2-40B4-BE49-F238E27FC236}">
              <a16:creationId xmlns:a16="http://schemas.microsoft.com/office/drawing/2014/main" id="{B9B438A5-CD9A-492C-9E7B-73A27BB291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29797" y="108585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15</xdr:col>
      <xdr:colOff>200024</xdr:colOff>
      <xdr:row>13</xdr:row>
      <xdr:rowOff>161924</xdr:rowOff>
    </xdr:from>
    <xdr:to>
      <xdr:col>15</xdr:col>
      <xdr:colOff>609599</xdr:colOff>
      <xdr:row>16</xdr:row>
      <xdr:rowOff>4378</xdr:rowOff>
    </xdr:to>
    <xdr:pic>
      <xdr:nvPicPr>
        <xdr:cNvPr id="44" name="Graphic 43" descr="Presentation with pie chart with solid fill">
          <a:extLst>
            <a:ext uri="{FF2B5EF4-FFF2-40B4-BE49-F238E27FC236}">
              <a16:creationId xmlns:a16="http://schemas.microsoft.com/office/drawing/2014/main" id="{98DA690B-2EB8-124D-E4F6-29770B156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344024" y="2638424"/>
          <a:ext cx="409575" cy="409575"/>
        </a:xfrm>
        <a:prstGeom prst="rect">
          <a:avLst/>
        </a:prstGeom>
      </xdr:spPr>
    </xdr:pic>
    <xdr:clientData/>
  </xdr:twoCellAnchor>
  <xdr:oneCellAnchor>
    <xdr:from>
      <xdr:col>17</xdr:col>
      <xdr:colOff>485775</xdr:colOff>
      <xdr:row>15</xdr:row>
      <xdr:rowOff>123825</xdr:rowOff>
    </xdr:from>
    <xdr:ext cx="1638300" cy="264560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D188A724-050F-BFE5-85CF-D7A1BD38DD32}"/>
            </a:ext>
          </a:extLst>
        </xdr:cNvPr>
        <xdr:cNvSpPr txBox="1"/>
      </xdr:nvSpPr>
      <xdr:spPr>
        <a:xfrm>
          <a:off x="10848975" y="2981325"/>
          <a:ext cx="16383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15</xdr:col>
      <xdr:colOff>409575</xdr:colOff>
      <xdr:row>5</xdr:row>
      <xdr:rowOff>133350</xdr:rowOff>
    </xdr:from>
    <xdr:to>
      <xdr:col>16</xdr:col>
      <xdr:colOff>165734</xdr:colOff>
      <xdr:row>7</xdr:row>
      <xdr:rowOff>118110</xdr:rowOff>
    </xdr:to>
    <xdr:pic>
      <xdr:nvPicPr>
        <xdr:cNvPr id="47" name="Graphic 46" descr="Pie chart with solid fill">
          <a:extLst>
            <a:ext uri="{FF2B5EF4-FFF2-40B4-BE49-F238E27FC236}">
              <a16:creationId xmlns:a16="http://schemas.microsoft.com/office/drawing/2014/main" id="{4D039EDF-C497-0843-CED3-C3BDAA4A4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9553575" y="108585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381000</xdr:colOff>
      <xdr:row>5</xdr:row>
      <xdr:rowOff>133350</xdr:rowOff>
    </xdr:from>
    <xdr:to>
      <xdr:col>19</xdr:col>
      <xdr:colOff>137160</xdr:colOff>
      <xdr:row>7</xdr:row>
      <xdr:rowOff>118110</xdr:rowOff>
    </xdr:to>
    <xdr:pic>
      <xdr:nvPicPr>
        <xdr:cNvPr id="49" name="Graphic 48" descr="Database with solid fill">
          <a:extLst>
            <a:ext uri="{FF2B5EF4-FFF2-40B4-BE49-F238E27FC236}">
              <a16:creationId xmlns:a16="http://schemas.microsoft.com/office/drawing/2014/main" id="{99E5816F-B44F-0F54-D6DB-5CE05DD4C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1353800" y="1085850"/>
          <a:ext cx="365760" cy="365760"/>
        </a:xfrm>
        <a:prstGeom prst="rect">
          <a:avLst/>
        </a:prstGeom>
      </xdr:spPr>
    </xdr:pic>
    <xdr:clientData/>
  </xdr:twoCellAnchor>
  <xdr:oneCellAnchor>
    <xdr:from>
      <xdr:col>11</xdr:col>
      <xdr:colOff>285750</xdr:colOff>
      <xdr:row>18</xdr:row>
      <xdr:rowOff>57150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3073036-FFC5-941F-2325-DC178642A025}"/>
            </a:ext>
          </a:extLst>
        </xdr:cNvPr>
        <xdr:cNvSpPr txBox="1"/>
      </xdr:nvSpPr>
      <xdr:spPr>
        <a:xfrm>
          <a:off x="6991350" y="3486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495299</xdr:colOff>
      <xdr:row>16</xdr:row>
      <xdr:rowOff>171450</xdr:rowOff>
    </xdr:from>
    <xdr:to>
      <xdr:col>20</xdr:col>
      <xdr:colOff>523874</xdr:colOff>
      <xdr:row>18</xdr:row>
      <xdr:rowOff>95250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F2A2DBF0-DEA7-C68B-3F17-05C3F89A03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600075</xdr:colOff>
      <xdr:row>19</xdr:row>
      <xdr:rowOff>85725</xdr:rowOff>
    </xdr:from>
    <xdr:to>
      <xdr:col>21</xdr:col>
      <xdr:colOff>19050</xdr:colOff>
      <xdr:row>21</xdr:row>
      <xdr:rowOff>9525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2EB177A5-FE03-493B-85C3-66A19398F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600075</xdr:colOff>
      <xdr:row>22</xdr:row>
      <xdr:rowOff>57150</xdr:rowOff>
    </xdr:from>
    <xdr:to>
      <xdr:col>21</xdr:col>
      <xdr:colOff>19050</xdr:colOff>
      <xdr:row>23</xdr:row>
      <xdr:rowOff>171450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3F02B8A1-4992-4921-84FF-9C7F664060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16</xdr:col>
      <xdr:colOff>352425</xdr:colOff>
      <xdr:row>19</xdr:row>
      <xdr:rowOff>171449</xdr:rowOff>
    </xdr:from>
    <xdr:to>
      <xdr:col>20</xdr:col>
      <xdr:colOff>600075</xdr:colOff>
      <xdr:row>27</xdr:row>
      <xdr:rowOff>104774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AF2387A-7B1C-4660-8169-FF890A54A4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oneCellAnchor>
    <xdr:from>
      <xdr:col>4</xdr:col>
      <xdr:colOff>95250</xdr:colOff>
      <xdr:row>5</xdr:row>
      <xdr:rowOff>142875</xdr:rowOff>
    </xdr:from>
    <xdr:ext cx="1118679" cy="342786"/>
    <xdr:sp macro="" textlink="FINANCIAL_STATEMENTS!L5">
      <xdr:nvSpPr>
        <xdr:cNvPr id="12" name="TextBox 11">
          <a:extLst>
            <a:ext uri="{FF2B5EF4-FFF2-40B4-BE49-F238E27FC236}">
              <a16:creationId xmlns:a16="http://schemas.microsoft.com/office/drawing/2014/main" id="{74EE9D44-1FF7-3246-5C52-3C892993E354}"/>
            </a:ext>
          </a:extLst>
        </xdr:cNvPr>
        <xdr:cNvSpPr txBox="1"/>
      </xdr:nvSpPr>
      <xdr:spPr>
        <a:xfrm>
          <a:off x="2533650" y="1095375"/>
          <a:ext cx="1118679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Calibri"/>
              <a:cs typeface="Calibri"/>
            </a:rPr>
            <a:t>$</a:t>
          </a:r>
          <a:fld id="{37F129D4-525A-47EE-B9AF-8CE9E67CDED7}" type="TxLink">
            <a:rPr lang="en-US" sz="1600" b="1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Calibri"/>
              <a:cs typeface="Calibri"/>
            </a:rPr>
            <a:pPr/>
            <a:t>416.161B</a:t>
          </a:fld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oneCellAnchor>
  <xdr:oneCellAnchor>
    <xdr:from>
      <xdr:col>7</xdr:col>
      <xdr:colOff>133350</xdr:colOff>
      <xdr:row>5</xdr:row>
      <xdr:rowOff>161925</xdr:rowOff>
    </xdr:from>
    <xdr:ext cx="1118679" cy="342786"/>
    <xdr:sp macro="" textlink="FINANCIAL_STATEMENTS!L18">
      <xdr:nvSpPr>
        <xdr:cNvPr id="30" name="TextBox 29">
          <a:extLst>
            <a:ext uri="{FF2B5EF4-FFF2-40B4-BE49-F238E27FC236}">
              <a16:creationId xmlns:a16="http://schemas.microsoft.com/office/drawing/2014/main" id="{4D1FD835-D09D-4C28-B63E-8398AC8A7E0A}"/>
            </a:ext>
          </a:extLst>
        </xdr:cNvPr>
        <xdr:cNvSpPr txBox="1"/>
      </xdr:nvSpPr>
      <xdr:spPr>
        <a:xfrm>
          <a:off x="4827814" y="1133864"/>
          <a:ext cx="1118679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Calibri"/>
              <a:cs typeface="Calibri"/>
            </a:rPr>
            <a:t>$</a:t>
          </a:r>
          <a:fld id="{2A237CCB-C262-4B02-B06F-775101291A36}" type="TxLink">
            <a:rPr lang="en-US" sz="1600" b="1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Calibri"/>
              <a:cs typeface="Calibri"/>
            </a:rPr>
            <a:pPr/>
            <a:t>112.010B</a:t>
          </a:fld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oneCellAnchor>
  <xdr:oneCellAnchor>
    <xdr:from>
      <xdr:col>10</xdr:col>
      <xdr:colOff>190500</xdr:colOff>
      <xdr:row>5</xdr:row>
      <xdr:rowOff>152400</xdr:rowOff>
    </xdr:from>
    <xdr:ext cx="1118679" cy="342786"/>
    <xdr:sp macro="" textlink="FINANCIAL_STATEMENTS!L74">
      <xdr:nvSpPr>
        <xdr:cNvPr id="32" name="TextBox 31">
          <a:extLst>
            <a:ext uri="{FF2B5EF4-FFF2-40B4-BE49-F238E27FC236}">
              <a16:creationId xmlns:a16="http://schemas.microsoft.com/office/drawing/2014/main" id="{C774DFE1-561A-4AF7-836F-E82B4A6C8AB3}"/>
            </a:ext>
          </a:extLst>
        </xdr:cNvPr>
        <xdr:cNvSpPr txBox="1"/>
      </xdr:nvSpPr>
      <xdr:spPr>
        <a:xfrm>
          <a:off x="6721929" y="1124339"/>
          <a:ext cx="1118679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Calibri"/>
              <a:cs typeface="Calibri"/>
            </a:rPr>
            <a:t>$</a:t>
          </a:r>
          <a:fld id="{7D540FB3-F477-420D-BB4A-98EF385C4D80}" type="TxLink">
            <a:rPr lang="en-US" sz="1600" b="1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Calibri"/>
              <a:cs typeface="Calibri"/>
            </a:rPr>
            <a:pPr/>
            <a:t>98.767B</a:t>
          </a:fld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oneCellAnchor>
  <xdr:oneCellAnchor>
    <xdr:from>
      <xdr:col>13</xdr:col>
      <xdr:colOff>200025</xdr:colOff>
      <xdr:row>5</xdr:row>
      <xdr:rowOff>142875</xdr:rowOff>
    </xdr:from>
    <xdr:ext cx="1118679" cy="342786"/>
    <xdr:sp macro="" textlink="FINANCIAL_STATEMENTS!L21">
      <xdr:nvSpPr>
        <xdr:cNvPr id="2" name="TextBox 1">
          <a:extLst>
            <a:ext uri="{FF2B5EF4-FFF2-40B4-BE49-F238E27FC236}">
              <a16:creationId xmlns:a16="http://schemas.microsoft.com/office/drawing/2014/main" id="{05136802-8AE5-4D7A-8C82-577EE4241E5F}"/>
            </a:ext>
          </a:extLst>
        </xdr:cNvPr>
        <xdr:cNvSpPr txBox="1"/>
      </xdr:nvSpPr>
      <xdr:spPr>
        <a:xfrm>
          <a:off x="8568418" y="1114814"/>
          <a:ext cx="1118679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Calibri"/>
              <a:cs typeface="Calibri"/>
            </a:rPr>
            <a:t>$</a:t>
          </a:r>
          <a:fld id="{AC3CEF97-3D7E-4733-9045-654D0FFF0F4F}" type="TxLink">
            <a:rPr lang="en-US" sz="1600" b="1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Calibri"/>
              <a:cs typeface="Calibri"/>
            </a:rPr>
            <a:pPr/>
            <a:t>7.490</a:t>
          </a:fld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oneCellAnchor>
  <xdr:oneCellAnchor>
    <xdr:from>
      <xdr:col>16</xdr:col>
      <xdr:colOff>209550</xdr:colOff>
      <xdr:row>5</xdr:row>
      <xdr:rowOff>142875</xdr:rowOff>
    </xdr:from>
    <xdr:ext cx="1118679" cy="342786"/>
    <xdr:sp macro="" textlink="FINANCIAL_STATEMENTS!L8">
      <xdr:nvSpPr>
        <xdr:cNvPr id="4" name="TextBox 3">
          <a:extLst>
            <a:ext uri="{FF2B5EF4-FFF2-40B4-BE49-F238E27FC236}">
              <a16:creationId xmlns:a16="http://schemas.microsoft.com/office/drawing/2014/main" id="{C71C22F3-BF8C-4D8F-AF46-059EB70B8A39}"/>
            </a:ext>
          </a:extLst>
        </xdr:cNvPr>
        <xdr:cNvSpPr txBox="1"/>
      </xdr:nvSpPr>
      <xdr:spPr>
        <a:xfrm>
          <a:off x="10414907" y="1114814"/>
          <a:ext cx="1118679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36E96A9-88D8-4003-9719-E019B82746E3}" type="TxLink">
            <a:rPr lang="en-US" sz="1600" b="1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Calibri"/>
              <a:cs typeface="Calibri"/>
            </a:rPr>
            <a:pPr/>
            <a:t>46.905%</a:t>
          </a:fld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oneCellAnchor>
  <xdr:oneCellAnchor>
    <xdr:from>
      <xdr:col>19</xdr:col>
      <xdr:colOff>171450</xdr:colOff>
      <xdr:row>5</xdr:row>
      <xdr:rowOff>180975</xdr:rowOff>
    </xdr:from>
    <xdr:ext cx="1118679" cy="342786"/>
    <xdr:sp macro="" textlink="FINANCIAL_STATEMENTS!L19">
      <xdr:nvSpPr>
        <xdr:cNvPr id="9" name="TextBox 8">
          <a:extLst>
            <a:ext uri="{FF2B5EF4-FFF2-40B4-BE49-F238E27FC236}">
              <a16:creationId xmlns:a16="http://schemas.microsoft.com/office/drawing/2014/main" id="{262BBE06-02B3-4B86-9203-5FB2BB5B49ED}"/>
            </a:ext>
          </a:extLst>
        </xdr:cNvPr>
        <xdr:cNvSpPr txBox="1"/>
      </xdr:nvSpPr>
      <xdr:spPr>
        <a:xfrm>
          <a:off x="12213771" y="1152914"/>
          <a:ext cx="1118679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53051CC4-1C30-40BC-B43E-64E02D9E9B47}" type="TxLink">
            <a:rPr lang="en-US" sz="1600" b="1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Calibri"/>
              <a:cs typeface="Calibri"/>
            </a:rPr>
            <a:pPr/>
            <a:t>26.915%</a:t>
          </a:fld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oneCellAnchor>
  <xdr:twoCellAnchor>
    <xdr:from>
      <xdr:col>5</xdr:col>
      <xdr:colOff>476250</xdr:colOff>
      <xdr:row>15</xdr:row>
      <xdr:rowOff>85725</xdr:rowOff>
    </xdr:from>
    <xdr:to>
      <xdr:col>7</xdr:col>
      <xdr:colOff>371475</xdr:colOff>
      <xdr:row>16</xdr:row>
      <xdr:rowOff>161925</xdr:rowOff>
    </xdr:to>
    <xdr:sp macro="" textlink="VALUATION_ENGINE!B57">
      <xdr:nvSpPr>
        <xdr:cNvPr id="36" name="Rectangle 35">
          <a:extLst>
            <a:ext uri="{FF2B5EF4-FFF2-40B4-BE49-F238E27FC236}">
              <a16:creationId xmlns:a16="http://schemas.microsoft.com/office/drawing/2014/main" id="{E41F8DDF-BE1E-71D8-121D-3FA2FDA9A7DD}"/>
            </a:ext>
          </a:extLst>
        </xdr:cNvPr>
        <xdr:cNvSpPr/>
      </xdr:nvSpPr>
      <xdr:spPr>
        <a:xfrm>
          <a:off x="3524250" y="2943225"/>
          <a:ext cx="1114425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2E89CBE-CD32-48A4-90E7-48C7659D82C3}" type="TxLink">
            <a:rPr lang="en-US" sz="1600" b="1" i="0" u="none" strike="noStrike">
              <a:solidFill>
                <a:schemeClr val="tx2"/>
              </a:solidFill>
              <a:latin typeface="Calibri"/>
              <a:ea typeface="Calibri"/>
              <a:cs typeface="Calibri"/>
            </a:rPr>
            <a:pPr algn="l"/>
            <a:t>142.6935074</a:t>
          </a:fld>
          <a:endParaRPr lang="en-US" sz="1600" b="1">
            <a:solidFill>
              <a:schemeClr val="tx2"/>
            </a:solidFill>
          </a:endParaRPr>
        </a:p>
      </xdr:txBody>
    </xdr:sp>
    <xdr:clientData/>
  </xdr:twoCellAnchor>
  <xdr:twoCellAnchor>
    <xdr:from>
      <xdr:col>5</xdr:col>
      <xdr:colOff>476250</xdr:colOff>
      <xdr:row>17</xdr:row>
      <xdr:rowOff>114300</xdr:rowOff>
    </xdr:from>
    <xdr:to>
      <xdr:col>7</xdr:col>
      <xdr:colOff>381000</xdr:colOff>
      <xdr:row>19</xdr:row>
      <xdr:rowOff>28575</xdr:rowOff>
    </xdr:to>
    <xdr:sp macro="" textlink="CurrentStockPrice">
      <xdr:nvSpPr>
        <xdr:cNvPr id="38" name="Rectangle 37">
          <a:extLst>
            <a:ext uri="{FF2B5EF4-FFF2-40B4-BE49-F238E27FC236}">
              <a16:creationId xmlns:a16="http://schemas.microsoft.com/office/drawing/2014/main" id="{86091022-13A2-14F5-726D-E5D5A0AEA84E}"/>
            </a:ext>
          </a:extLst>
        </xdr:cNvPr>
        <xdr:cNvSpPr/>
      </xdr:nvSpPr>
      <xdr:spPr>
        <a:xfrm>
          <a:off x="3524250" y="3352800"/>
          <a:ext cx="112395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8694527-4E2A-4936-B769-788AA5512450}" type="TxLink">
            <a:rPr lang="en-US" sz="1600" b="1" i="0" u="none" strike="noStrike">
              <a:solidFill>
                <a:schemeClr val="tx2"/>
              </a:solidFill>
              <a:latin typeface="Calibri"/>
              <a:ea typeface="Calibri"/>
              <a:cs typeface="Calibri"/>
            </a:rPr>
            <a:pPr algn="l"/>
            <a:t>210</a:t>
          </a:fld>
          <a:endParaRPr lang="en-US" sz="1600" b="1">
            <a:solidFill>
              <a:schemeClr val="tx2"/>
            </a:solidFill>
          </a:endParaRPr>
        </a:p>
      </xdr:txBody>
    </xdr:sp>
    <xdr:clientData/>
  </xdr:twoCellAnchor>
  <xdr:twoCellAnchor>
    <xdr:from>
      <xdr:col>5</xdr:col>
      <xdr:colOff>515128</xdr:colOff>
      <xdr:row>26</xdr:row>
      <xdr:rowOff>65703</xdr:rowOff>
    </xdr:from>
    <xdr:to>
      <xdr:col>7</xdr:col>
      <xdr:colOff>419878</xdr:colOff>
      <xdr:row>27</xdr:row>
      <xdr:rowOff>174366</xdr:rowOff>
    </xdr:to>
    <xdr:sp macro="" textlink="TerminalGrowthRate">
      <xdr:nvSpPr>
        <xdr:cNvPr id="43" name="Rectangle 42">
          <a:extLst>
            <a:ext uri="{FF2B5EF4-FFF2-40B4-BE49-F238E27FC236}">
              <a16:creationId xmlns:a16="http://schemas.microsoft.com/office/drawing/2014/main" id="{856D329A-05FB-4AE3-A18A-30244D61BF53}"/>
            </a:ext>
          </a:extLst>
        </xdr:cNvPr>
        <xdr:cNvSpPr/>
      </xdr:nvSpPr>
      <xdr:spPr>
        <a:xfrm>
          <a:off x="3984949" y="5119785"/>
          <a:ext cx="1129393" cy="3030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94B1B5A-3606-4298-8994-E0F35C2E8134}" type="TxLink">
            <a:rPr lang="en-US" sz="1600" b="1" i="0" u="none" strike="noStrike">
              <a:solidFill>
                <a:schemeClr val="tx2"/>
              </a:solidFill>
              <a:latin typeface="Calibri"/>
              <a:ea typeface="Calibri"/>
              <a:cs typeface="Calibri"/>
            </a:rPr>
            <a:pPr algn="l"/>
            <a:t>0.025</a:t>
          </a:fld>
          <a:endParaRPr lang="en-US" sz="1600" b="1">
            <a:solidFill>
              <a:schemeClr val="tx2"/>
            </a:solidFill>
          </a:endParaRPr>
        </a:p>
      </xdr:txBody>
    </xdr:sp>
    <xdr:clientData/>
  </xdr:twoCellAnchor>
  <xdr:twoCellAnchor>
    <xdr:from>
      <xdr:col>5</xdr:col>
      <xdr:colOff>476250</xdr:colOff>
      <xdr:row>24</xdr:row>
      <xdr:rowOff>85725</xdr:rowOff>
    </xdr:from>
    <xdr:to>
      <xdr:col>7</xdr:col>
      <xdr:colOff>381000</xdr:colOff>
      <xdr:row>26</xdr:row>
      <xdr:rowOff>0</xdr:rowOff>
    </xdr:to>
    <xdr:sp macro="" textlink="VALUATION_ENGINE!B24">
      <xdr:nvSpPr>
        <xdr:cNvPr id="46" name="Rectangle 45">
          <a:extLst>
            <a:ext uri="{FF2B5EF4-FFF2-40B4-BE49-F238E27FC236}">
              <a16:creationId xmlns:a16="http://schemas.microsoft.com/office/drawing/2014/main" id="{CAFE22D1-0F50-43B6-BBD9-EEC6F9D29D02}"/>
            </a:ext>
          </a:extLst>
        </xdr:cNvPr>
        <xdr:cNvSpPr/>
      </xdr:nvSpPr>
      <xdr:spPr>
        <a:xfrm>
          <a:off x="3524250" y="4657725"/>
          <a:ext cx="112395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E8489D8B-F10A-496D-9099-83578B77D7BE}" type="TxLink">
            <a:rPr lang="en-US" sz="1600" b="1" i="0" u="none" strike="noStrike">
              <a:solidFill>
                <a:schemeClr val="tx2"/>
              </a:solidFill>
              <a:latin typeface="Calibri"/>
              <a:ea typeface="Calibri"/>
              <a:cs typeface="Calibri"/>
            </a:rPr>
            <a:pPr algn="l"/>
            <a:t>11.06%</a:t>
          </a:fld>
          <a:endParaRPr lang="en-US" sz="1600" b="1">
            <a:solidFill>
              <a:schemeClr val="tx2"/>
            </a:solidFill>
          </a:endParaRPr>
        </a:p>
      </xdr:txBody>
    </xdr:sp>
    <xdr:clientData/>
  </xdr:twoCellAnchor>
  <xdr:twoCellAnchor>
    <xdr:from>
      <xdr:col>5</xdr:col>
      <xdr:colOff>476250</xdr:colOff>
      <xdr:row>22</xdr:row>
      <xdr:rowOff>19050</xdr:rowOff>
    </xdr:from>
    <xdr:to>
      <xdr:col>7</xdr:col>
      <xdr:colOff>381000</xdr:colOff>
      <xdr:row>23</xdr:row>
      <xdr:rowOff>123825</xdr:rowOff>
    </xdr:to>
    <xdr:sp macro="" textlink="VALUATION_ENGINE!B52">
      <xdr:nvSpPr>
        <xdr:cNvPr id="48" name="Rectangle 47">
          <a:extLst>
            <a:ext uri="{FF2B5EF4-FFF2-40B4-BE49-F238E27FC236}">
              <a16:creationId xmlns:a16="http://schemas.microsoft.com/office/drawing/2014/main" id="{2A151532-780F-4964-8352-2A72F3E588E5}"/>
            </a:ext>
          </a:extLst>
        </xdr:cNvPr>
        <xdr:cNvSpPr/>
      </xdr:nvSpPr>
      <xdr:spPr>
        <a:xfrm>
          <a:off x="3524250" y="4210050"/>
          <a:ext cx="112395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D2E3276-4520-4676-8B2A-C19C1ED4916B}" type="TxLink">
            <a:rPr lang="en-US" sz="1600" b="1" i="0" u="none" strike="noStrike">
              <a:solidFill>
                <a:schemeClr val="tx2"/>
              </a:solidFill>
              <a:latin typeface="Calibri"/>
              <a:ea typeface="Calibri"/>
              <a:cs typeface="Calibri"/>
            </a:rPr>
            <a:pPr algn="l"/>
            <a:t>2166.887481</a:t>
          </a:fld>
          <a:endParaRPr lang="en-US" sz="1600" b="1">
            <a:solidFill>
              <a:schemeClr val="tx2"/>
            </a:solidFill>
          </a:endParaRPr>
        </a:p>
      </xdr:txBody>
    </xdr:sp>
    <xdr:clientData/>
  </xdr:twoCellAnchor>
  <xdr:twoCellAnchor>
    <xdr:from>
      <xdr:col>5</xdr:col>
      <xdr:colOff>476250</xdr:colOff>
      <xdr:row>19</xdr:row>
      <xdr:rowOff>171450</xdr:rowOff>
    </xdr:from>
    <xdr:to>
      <xdr:col>7</xdr:col>
      <xdr:colOff>381000</xdr:colOff>
      <xdr:row>21</xdr:row>
      <xdr:rowOff>85725</xdr:rowOff>
    </xdr:to>
    <xdr:sp macro="" textlink="VALUATION_ENGINE!H54">
      <xdr:nvSpPr>
        <xdr:cNvPr id="50" name="Rectangle 49">
          <a:extLst>
            <a:ext uri="{FF2B5EF4-FFF2-40B4-BE49-F238E27FC236}">
              <a16:creationId xmlns:a16="http://schemas.microsoft.com/office/drawing/2014/main" id="{099F174D-4D1B-4471-B57A-565859296A9B}"/>
            </a:ext>
          </a:extLst>
        </xdr:cNvPr>
        <xdr:cNvSpPr/>
      </xdr:nvSpPr>
      <xdr:spPr>
        <a:xfrm>
          <a:off x="3524250" y="3790950"/>
          <a:ext cx="112395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FADCCAB-08B4-42F5-A39D-8D8897DF364E}" type="TxLink">
            <a:rPr lang="en-US" sz="16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-32.05%</a:t>
          </a:fld>
          <a:endParaRPr lang="en-US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590549</xdr:colOff>
      <xdr:row>20</xdr:row>
      <xdr:rowOff>9525</xdr:rowOff>
    </xdr:from>
    <xdr:to>
      <xdr:col>5</xdr:col>
      <xdr:colOff>314324</xdr:colOff>
      <xdr:row>21</xdr:row>
      <xdr:rowOff>76200</xdr:rowOff>
    </xdr:to>
    <xdr:sp macro="" textlink="VALUATION_ENGINE!G54">
      <xdr:nvSpPr>
        <xdr:cNvPr id="51" name="Rectangle 50">
          <a:extLst>
            <a:ext uri="{FF2B5EF4-FFF2-40B4-BE49-F238E27FC236}">
              <a16:creationId xmlns:a16="http://schemas.microsoft.com/office/drawing/2014/main" id="{6D0B7C3D-0782-4D50-B833-E79D4E3F6A3B}"/>
            </a:ext>
          </a:extLst>
        </xdr:cNvPr>
        <xdr:cNvSpPr/>
      </xdr:nvSpPr>
      <xdr:spPr>
        <a:xfrm>
          <a:off x="2419349" y="3819525"/>
          <a:ext cx="942975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468757E-3BE0-4E52-B644-178F30730F82}" type="TxLink">
            <a:rPr lang="en-US" sz="1200" b="1" i="0" u="none" strike="noStrike">
              <a:solidFill>
                <a:schemeClr val="accent6"/>
              </a:solidFill>
              <a:latin typeface="Calibri"/>
              <a:ea typeface="Calibri"/>
              <a:cs typeface="Calibri"/>
            </a:rPr>
            <a:pPr algn="l"/>
            <a:t>Downside</a:t>
          </a:fld>
          <a:endParaRPr lang="en-US" sz="1200" b="1">
            <a:solidFill>
              <a:schemeClr val="accent6"/>
            </a:solidFill>
          </a:endParaRPr>
        </a:p>
      </xdr:txBody>
    </xdr:sp>
    <xdr:clientData/>
  </xdr:twoCellAnchor>
  <xdr:twoCellAnchor>
    <xdr:from>
      <xdr:col>13</xdr:col>
      <xdr:colOff>28380</xdr:colOff>
      <xdr:row>14</xdr:row>
      <xdr:rowOff>171256</xdr:rowOff>
    </xdr:from>
    <xdr:to>
      <xdr:col>14</xdr:col>
      <xdr:colOff>421627</xdr:colOff>
      <xdr:row>16</xdr:row>
      <xdr:rowOff>66481</xdr:rowOff>
    </xdr:to>
    <xdr:sp macro="" textlink="PORTFOLIO_TRACKER!J8">
      <xdr:nvSpPr>
        <xdr:cNvPr id="52" name="Rectangle 51">
          <a:extLst>
            <a:ext uri="{FF2B5EF4-FFF2-40B4-BE49-F238E27FC236}">
              <a16:creationId xmlns:a16="http://schemas.microsoft.com/office/drawing/2014/main" id="{EAC9CE2B-392A-595A-2F37-BBB563DA1235}"/>
            </a:ext>
          </a:extLst>
        </xdr:cNvPr>
        <xdr:cNvSpPr/>
      </xdr:nvSpPr>
      <xdr:spPr>
        <a:xfrm>
          <a:off x="8396773" y="2892685"/>
          <a:ext cx="1005568" cy="28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1646840-B45A-4668-A8AA-819E16F761C1}" type="TxLink">
            <a:rPr lang="en-US" sz="1600" b="1" i="0" u="none" strike="noStrike">
              <a:solidFill>
                <a:schemeClr val="tx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0.440</a:t>
          </a:fld>
          <a:endParaRPr lang="en-US" sz="1600" b="1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>
    <xdr:from>
      <xdr:col>13</xdr:col>
      <xdr:colOff>28380</xdr:colOff>
      <xdr:row>17</xdr:row>
      <xdr:rowOff>76006</xdr:rowOff>
    </xdr:from>
    <xdr:to>
      <xdr:col>14</xdr:col>
      <xdr:colOff>421627</xdr:colOff>
      <xdr:row>18</xdr:row>
      <xdr:rowOff>161731</xdr:rowOff>
    </xdr:to>
    <xdr:sp macro="" textlink="PORTFOLIO_TRACKER!J10">
      <xdr:nvSpPr>
        <xdr:cNvPr id="53" name="Rectangle 52">
          <a:extLst>
            <a:ext uri="{FF2B5EF4-FFF2-40B4-BE49-F238E27FC236}">
              <a16:creationId xmlns:a16="http://schemas.microsoft.com/office/drawing/2014/main" id="{016BE9E9-2BE8-4FEA-9E82-E4B8EC4B3F4E}"/>
            </a:ext>
          </a:extLst>
        </xdr:cNvPr>
        <xdr:cNvSpPr/>
      </xdr:nvSpPr>
      <xdr:spPr>
        <a:xfrm>
          <a:off x="8396773" y="3380598"/>
          <a:ext cx="1005568" cy="2801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324E079-9871-4D12-AFC9-0B1C456F3C62}" type="TxLink">
            <a:rPr lang="en-US" sz="1600" b="1" i="0" u="none" strike="noStrike">
              <a:solidFill>
                <a:schemeClr val="tx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0.841</a:t>
          </a:fld>
          <a:endParaRPr lang="en-US" sz="1600" b="1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>
    <xdr:from>
      <xdr:col>13</xdr:col>
      <xdr:colOff>28380</xdr:colOff>
      <xdr:row>19</xdr:row>
      <xdr:rowOff>142681</xdr:rowOff>
    </xdr:from>
    <xdr:to>
      <xdr:col>14</xdr:col>
      <xdr:colOff>421627</xdr:colOff>
      <xdr:row>21</xdr:row>
      <xdr:rowOff>37906</xdr:rowOff>
    </xdr:to>
    <xdr:sp macro="" textlink="PORTFOLIO_TRACKER!J9">
      <xdr:nvSpPr>
        <xdr:cNvPr id="54" name="Rectangle 53">
          <a:extLst>
            <a:ext uri="{FF2B5EF4-FFF2-40B4-BE49-F238E27FC236}">
              <a16:creationId xmlns:a16="http://schemas.microsoft.com/office/drawing/2014/main" id="{5FF1A0BF-800A-471F-9C36-4D2D89B8B97C}"/>
            </a:ext>
          </a:extLst>
        </xdr:cNvPr>
        <xdr:cNvSpPr/>
      </xdr:nvSpPr>
      <xdr:spPr>
        <a:xfrm>
          <a:off x="8396773" y="3836048"/>
          <a:ext cx="1005568" cy="28400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14D69D8-485E-4444-91F0-0EDA4CD43F66}" type="TxLink">
            <a:rPr lang="en-US" sz="1600" b="1" i="0" u="none" strike="noStrike">
              <a:solidFill>
                <a:schemeClr val="tx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22.094%</a:t>
          </a:fld>
          <a:endParaRPr lang="en-US" sz="1600" b="1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>
    <xdr:from>
      <xdr:col>13</xdr:col>
      <xdr:colOff>28380</xdr:colOff>
      <xdr:row>21</xdr:row>
      <xdr:rowOff>184669</xdr:rowOff>
    </xdr:from>
    <xdr:to>
      <xdr:col>14</xdr:col>
      <xdr:colOff>421627</xdr:colOff>
      <xdr:row>23</xdr:row>
      <xdr:rowOff>76006</xdr:rowOff>
    </xdr:to>
    <xdr:sp macro="" textlink="PORTFOLIO_TRACKER!J12">
      <xdr:nvSpPr>
        <xdr:cNvPr id="55" name="Rectangle 54">
          <a:extLst>
            <a:ext uri="{FF2B5EF4-FFF2-40B4-BE49-F238E27FC236}">
              <a16:creationId xmlns:a16="http://schemas.microsoft.com/office/drawing/2014/main" id="{4BF329E0-7C19-45C4-AF6B-4200DC61AE65}"/>
            </a:ext>
          </a:extLst>
        </xdr:cNvPr>
        <xdr:cNvSpPr/>
      </xdr:nvSpPr>
      <xdr:spPr>
        <a:xfrm>
          <a:off x="8396773" y="4266812"/>
          <a:ext cx="1005568" cy="28011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FC5E7B6-1FD2-4EC2-9493-31E9369D1323}" type="TxLink">
            <a:rPr lang="en-US" sz="1600" b="1" i="0" u="none" strike="noStrike">
              <a:solidFill>
                <a:schemeClr val="tx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808.195%</a:t>
          </a:fld>
          <a:endParaRPr lang="en-US" sz="1600" b="1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>
    <xdr:from>
      <xdr:col>13</xdr:col>
      <xdr:colOff>28380</xdr:colOff>
      <xdr:row>23</xdr:row>
      <xdr:rowOff>184669</xdr:rowOff>
    </xdr:from>
    <xdr:to>
      <xdr:col>14</xdr:col>
      <xdr:colOff>421627</xdr:colOff>
      <xdr:row>25</xdr:row>
      <xdr:rowOff>76006</xdr:rowOff>
    </xdr:to>
    <xdr:sp macro="" textlink="PORTFOLIO_TRACKER!J13">
      <xdr:nvSpPr>
        <xdr:cNvPr id="56" name="Rectangle 55">
          <a:extLst>
            <a:ext uri="{FF2B5EF4-FFF2-40B4-BE49-F238E27FC236}">
              <a16:creationId xmlns:a16="http://schemas.microsoft.com/office/drawing/2014/main" id="{3F5369B3-B487-4D32-8A7B-DF88549A6275}"/>
            </a:ext>
          </a:extLst>
        </xdr:cNvPr>
        <xdr:cNvSpPr/>
      </xdr:nvSpPr>
      <xdr:spPr>
        <a:xfrm>
          <a:off x="8396773" y="4655587"/>
          <a:ext cx="1005568" cy="2801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362505F-92AC-49FB-B21C-2EC877B4EEC7}" type="TxLink">
            <a:rPr lang="en-US" sz="1600" b="1" i="0" u="none" strike="noStrike">
              <a:solidFill>
                <a:schemeClr val="tx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30.273%</a:t>
          </a:fld>
          <a:endParaRPr lang="en-US" sz="1600" b="1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>
    <xdr:from>
      <xdr:col>7</xdr:col>
      <xdr:colOff>400050</xdr:colOff>
      <xdr:row>16</xdr:row>
      <xdr:rowOff>104775</xdr:rowOff>
    </xdr:from>
    <xdr:to>
      <xdr:col>9</xdr:col>
      <xdr:colOff>557931</xdr:colOff>
      <xdr:row>24</xdr:row>
      <xdr:rowOff>38009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6A33B5EB-159B-470A-9E98-CA1BD60A0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12</xdr:col>
      <xdr:colOff>492673</xdr:colOff>
      <xdr:row>34</xdr:row>
      <xdr:rowOff>164225</xdr:rowOff>
    </xdr:from>
    <xdr:to>
      <xdr:col>21</xdr:col>
      <xdr:colOff>54742</xdr:colOff>
      <xdr:row>44</xdr:row>
      <xdr:rowOff>43793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2160D7E-293B-4AA0-8431-C5F1C3F78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19</xdr:col>
      <xdr:colOff>484586</xdr:colOff>
      <xdr:row>47</xdr:row>
      <xdr:rowOff>82143</xdr:rowOff>
    </xdr:from>
    <xdr:to>
      <xdr:col>20</xdr:col>
      <xdr:colOff>93841</xdr:colOff>
      <xdr:row>48</xdr:row>
      <xdr:rowOff>118380</xdr:rowOff>
    </xdr:to>
    <xdr:pic>
      <xdr:nvPicPr>
        <xdr:cNvPr id="60" name="Graphic 59" descr="Star with solid fill">
          <a:extLst>
            <a:ext uri="{FF2B5EF4-FFF2-40B4-BE49-F238E27FC236}">
              <a16:creationId xmlns:a16="http://schemas.microsoft.com/office/drawing/2014/main" id="{3FA1F1ED-F716-F36F-C473-2E770A433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2133552" y="8829815"/>
          <a:ext cx="222358" cy="222358"/>
        </a:xfrm>
        <a:prstGeom prst="rect">
          <a:avLst/>
        </a:prstGeom>
      </xdr:spPr>
    </xdr:pic>
    <xdr:clientData/>
  </xdr:twoCellAnchor>
  <xdr:twoCellAnchor>
    <xdr:from>
      <xdr:col>20</xdr:col>
      <xdr:colOff>163174</xdr:colOff>
      <xdr:row>47</xdr:row>
      <xdr:rowOff>82143</xdr:rowOff>
    </xdr:from>
    <xdr:to>
      <xdr:col>20</xdr:col>
      <xdr:colOff>391498</xdr:colOff>
      <xdr:row>48</xdr:row>
      <xdr:rowOff>124346</xdr:rowOff>
    </xdr:to>
    <xdr:pic>
      <xdr:nvPicPr>
        <xdr:cNvPr id="61" name="Graphic 60" descr="Star with solid fill">
          <a:extLst>
            <a:ext uri="{FF2B5EF4-FFF2-40B4-BE49-F238E27FC236}">
              <a16:creationId xmlns:a16="http://schemas.microsoft.com/office/drawing/2014/main" id="{EE24DDB9-9410-461F-BB6A-AAF5F64BE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2425243" y="8829815"/>
          <a:ext cx="228324" cy="228324"/>
        </a:xfrm>
        <a:prstGeom prst="rect">
          <a:avLst/>
        </a:prstGeom>
      </xdr:spPr>
    </xdr:pic>
    <xdr:clientData/>
  </xdr:twoCellAnchor>
  <xdr:twoCellAnchor>
    <xdr:from>
      <xdr:col>18</xdr:col>
      <xdr:colOff>536464</xdr:colOff>
      <xdr:row>47</xdr:row>
      <xdr:rowOff>82143</xdr:rowOff>
    </xdr:from>
    <xdr:to>
      <xdr:col>19</xdr:col>
      <xdr:colOff>145718</xdr:colOff>
      <xdr:row>48</xdr:row>
      <xdr:rowOff>118380</xdr:rowOff>
    </xdr:to>
    <xdr:pic>
      <xdr:nvPicPr>
        <xdr:cNvPr id="62" name="Graphic 61" descr="Star with solid fill">
          <a:extLst>
            <a:ext uri="{FF2B5EF4-FFF2-40B4-BE49-F238E27FC236}">
              <a16:creationId xmlns:a16="http://schemas.microsoft.com/office/drawing/2014/main" id="{9A2D8EB1-381B-476E-99A9-80385A3ED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1572326" y="8829815"/>
          <a:ext cx="222358" cy="222358"/>
        </a:xfrm>
        <a:prstGeom prst="rect">
          <a:avLst/>
        </a:prstGeom>
      </xdr:spPr>
    </xdr:pic>
    <xdr:clientData/>
  </xdr:twoCellAnchor>
  <xdr:twoCellAnchor>
    <xdr:from>
      <xdr:col>19</xdr:col>
      <xdr:colOff>208018</xdr:colOff>
      <xdr:row>47</xdr:row>
      <xdr:rowOff>82143</xdr:rowOff>
    </xdr:from>
    <xdr:to>
      <xdr:col>19</xdr:col>
      <xdr:colOff>437932</xdr:colOff>
      <xdr:row>48</xdr:row>
      <xdr:rowOff>125936</xdr:rowOff>
    </xdr:to>
    <xdr:pic>
      <xdr:nvPicPr>
        <xdr:cNvPr id="63" name="Graphic 62" descr="Star with solid fill">
          <a:extLst>
            <a:ext uri="{FF2B5EF4-FFF2-40B4-BE49-F238E27FC236}">
              <a16:creationId xmlns:a16="http://schemas.microsoft.com/office/drawing/2014/main" id="{50F25B05-5F10-445C-B5B2-B7E8574F4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1856984" y="8829815"/>
          <a:ext cx="229914" cy="229914"/>
        </a:xfrm>
        <a:prstGeom prst="rect">
          <a:avLst/>
        </a:prstGeom>
      </xdr:spPr>
    </xdr:pic>
    <xdr:clientData/>
  </xdr:twoCellAnchor>
  <xdr:twoCellAnchor>
    <xdr:from>
      <xdr:col>20</xdr:col>
      <xdr:colOff>428570</xdr:colOff>
      <xdr:row>47</xdr:row>
      <xdr:rowOff>89175</xdr:rowOff>
    </xdr:from>
    <xdr:to>
      <xdr:col>21</xdr:col>
      <xdr:colOff>32846</xdr:colOff>
      <xdr:row>48</xdr:row>
      <xdr:rowOff>120433</xdr:rowOff>
    </xdr:to>
    <xdr:pic>
      <xdr:nvPicPr>
        <xdr:cNvPr id="1024" name="Graphic 1023" descr="Star with solid fill">
          <a:extLst>
            <a:ext uri="{FF2B5EF4-FFF2-40B4-BE49-F238E27FC236}">
              <a16:creationId xmlns:a16="http://schemas.microsoft.com/office/drawing/2014/main" id="{8CD3E0A6-0096-4766-A8D9-022405B46D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2690639" y="8836847"/>
          <a:ext cx="217379" cy="217379"/>
        </a:xfrm>
        <a:prstGeom prst="rect">
          <a:avLst/>
        </a:prstGeom>
      </xdr:spPr>
    </xdr:pic>
    <xdr:clientData/>
  </xdr:twoCellAnchor>
  <xdr:twoCellAnchor>
    <xdr:from>
      <xdr:col>9</xdr:col>
      <xdr:colOff>87588</xdr:colOff>
      <xdr:row>49</xdr:row>
      <xdr:rowOff>65690</xdr:rowOff>
    </xdr:from>
    <xdr:to>
      <xdr:col>19</xdr:col>
      <xdr:colOff>525518</xdr:colOff>
      <xdr:row>50</xdr:row>
      <xdr:rowOff>131380</xdr:rowOff>
    </xdr:to>
    <xdr:sp macro="" textlink="">
      <xdr:nvSpPr>
        <xdr:cNvPr id="1029" name="TextBox 1028">
          <a:extLst>
            <a:ext uri="{FF2B5EF4-FFF2-40B4-BE49-F238E27FC236}">
              <a16:creationId xmlns:a16="http://schemas.microsoft.com/office/drawing/2014/main" id="{5D54756E-50A4-3595-C62D-E32A2ADC7A66}"/>
            </a:ext>
          </a:extLst>
        </xdr:cNvPr>
        <xdr:cNvSpPr txBox="1"/>
      </xdr:nvSpPr>
      <xdr:spPr>
        <a:xfrm>
          <a:off x="5605519" y="9185604"/>
          <a:ext cx="6568965" cy="251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All</a:t>
          </a:r>
          <a:r>
            <a:rPr lang="en-US" sz="1100" baseline="0"/>
            <a:t> financials are in USD. Data as of 30-Jun-2026. Source: Company filings</a:t>
          </a:r>
          <a:endParaRPr lang="en-US" sz="1100"/>
        </a:p>
      </xdr:txBody>
    </xdr:sp>
    <xdr:clientData/>
  </xdr:twoCellAnchor>
  <xdr:twoCellAnchor>
    <xdr:from>
      <xdr:col>3</xdr:col>
      <xdr:colOff>344251</xdr:colOff>
      <xdr:row>31</xdr:row>
      <xdr:rowOff>65691</xdr:rowOff>
    </xdr:from>
    <xdr:to>
      <xdr:col>13</xdr:col>
      <xdr:colOff>213966</xdr:colOff>
      <xdr:row>45</xdr:row>
      <xdr:rowOff>121679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22068810-8498-4E82-BC21-7AB47C26CA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3</xdr:col>
      <xdr:colOff>379056</xdr:colOff>
      <xdr:row>0</xdr:row>
      <xdr:rowOff>97195</xdr:rowOff>
    </xdr:from>
    <xdr:to>
      <xdr:col>4</xdr:col>
      <xdr:colOff>259598</xdr:colOff>
      <xdr:row>3</xdr:row>
      <xdr:rowOff>97195</xdr:rowOff>
    </xdr:to>
    <xdr:pic>
      <xdr:nvPicPr>
        <xdr:cNvPr id="1026" name="Picture 1025">
          <a:extLst>
            <a:ext uri="{FF2B5EF4-FFF2-40B4-BE49-F238E27FC236}">
              <a16:creationId xmlns:a16="http://schemas.microsoft.com/office/drawing/2014/main" id="{23389EA5-6683-706E-FDB9-468C80213E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4235" y="97195"/>
          <a:ext cx="492863" cy="583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349897</xdr:colOff>
      <xdr:row>0</xdr:row>
      <xdr:rowOff>174949</xdr:rowOff>
    </xdr:from>
    <xdr:to>
      <xdr:col>14</xdr:col>
      <xdr:colOff>126352</xdr:colOff>
      <xdr:row>3</xdr:row>
      <xdr:rowOff>68036</xdr:rowOff>
    </xdr:to>
    <xdr:sp macro="" textlink="">
      <xdr:nvSpPr>
        <xdr:cNvPr id="1027" name="TextBox 1026">
          <a:extLst>
            <a:ext uri="{FF2B5EF4-FFF2-40B4-BE49-F238E27FC236}">
              <a16:creationId xmlns:a16="http://schemas.microsoft.com/office/drawing/2014/main" id="{754E0B68-75F9-E690-17F7-2FA0A241D45B}"/>
            </a:ext>
          </a:extLst>
        </xdr:cNvPr>
        <xdr:cNvSpPr txBox="1"/>
      </xdr:nvSpPr>
      <xdr:spPr>
        <a:xfrm>
          <a:off x="3207397" y="174949"/>
          <a:ext cx="5899669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/>
            <a:t>APPLE</a:t>
          </a:r>
          <a:r>
            <a:rPr lang="en-US" sz="2400" b="1" baseline="0"/>
            <a:t> INC. (AAPL) - NEXUS</a:t>
          </a:r>
          <a:endParaRPr lang="en-US" sz="2400" b="1"/>
        </a:p>
      </xdr:txBody>
    </xdr:sp>
    <xdr:clientData/>
  </xdr:twoCellAnchor>
  <xdr:twoCellAnchor>
    <xdr:from>
      <xdr:col>19</xdr:col>
      <xdr:colOff>311022</xdr:colOff>
      <xdr:row>0</xdr:row>
      <xdr:rowOff>68036</xdr:rowOff>
    </xdr:from>
    <xdr:to>
      <xdr:col>21</xdr:col>
      <xdr:colOff>165230</xdr:colOff>
      <xdr:row>2</xdr:row>
      <xdr:rowOff>68036</xdr:rowOff>
    </xdr:to>
    <xdr:sp macro="" textlink="ActiveScenario">
      <xdr:nvSpPr>
        <xdr:cNvPr id="1028" name="Rectangle: Rounded Corners 1027">
          <a:extLst>
            <a:ext uri="{FF2B5EF4-FFF2-40B4-BE49-F238E27FC236}">
              <a16:creationId xmlns:a16="http://schemas.microsoft.com/office/drawing/2014/main" id="{3656AD7B-0B06-DE9E-D4A8-705C58B1FD78}"/>
            </a:ext>
          </a:extLst>
        </xdr:cNvPr>
        <xdr:cNvSpPr/>
      </xdr:nvSpPr>
      <xdr:spPr>
        <a:xfrm>
          <a:off x="12353343" y="68036"/>
          <a:ext cx="1078851" cy="388776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l"/>
          <a:fld id="{C38BD0AD-B2A3-482A-8712-6FC61E6C380B}" type="TxLink">
            <a:rPr lang="en-US" sz="2400" b="1" i="0" u="none" strike="noStrike">
              <a:solidFill>
                <a:schemeClr val="accent1">
                  <a:lumMod val="50000"/>
                </a:schemeClr>
              </a:solidFill>
              <a:latin typeface="Calibri"/>
              <a:ea typeface="Calibri"/>
              <a:cs typeface="Calibri"/>
            </a:rPr>
            <a:pPr algn="l"/>
            <a:t>Base</a:t>
          </a:fld>
          <a:endParaRPr lang="en-US" sz="24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18</xdr:col>
      <xdr:colOff>573444</xdr:colOff>
      <xdr:row>0</xdr:row>
      <xdr:rowOff>38878</xdr:rowOff>
    </xdr:from>
    <xdr:to>
      <xdr:col>22</xdr:col>
      <xdr:colOff>184669</xdr:colOff>
      <xdr:row>3</xdr:row>
      <xdr:rowOff>136072</xdr:rowOff>
    </xdr:to>
    <xdr:sp macro="" textlink="">
      <xdr:nvSpPr>
        <xdr:cNvPr id="1032" name="TextBox 1031">
          <a:extLst>
            <a:ext uri="{FF2B5EF4-FFF2-40B4-BE49-F238E27FC236}">
              <a16:creationId xmlns:a16="http://schemas.microsoft.com/office/drawing/2014/main" id="{B9D28852-9973-5B09-9251-75CA3C67313E}"/>
            </a:ext>
          </a:extLst>
        </xdr:cNvPr>
        <xdr:cNvSpPr txBox="1"/>
      </xdr:nvSpPr>
      <xdr:spPr>
        <a:xfrm>
          <a:off x="12003444" y="38878"/>
          <a:ext cx="1749490" cy="680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chemeClr val="accent2">
                  <a:lumMod val="75000"/>
                </a:schemeClr>
              </a:solidFill>
            </a:rPr>
            <a:t>   [  </a:t>
          </a:r>
          <a:r>
            <a:rPr lang="en-US" sz="2800" baseline="0">
              <a:solidFill>
                <a:schemeClr val="accent2">
                  <a:lumMod val="75000"/>
                </a:schemeClr>
              </a:solidFill>
            </a:rPr>
            <a:t> </a:t>
          </a:r>
          <a:r>
            <a:rPr lang="en-US" sz="2800">
              <a:solidFill>
                <a:schemeClr val="accent2">
                  <a:lumMod val="75000"/>
                </a:schemeClr>
              </a:solidFill>
            </a:rPr>
            <a:t>     ]</a:t>
          </a:r>
        </a:p>
      </xdr:txBody>
    </xdr:sp>
    <xdr:clientData/>
  </xdr:twoCellAnchor>
  <xdr:twoCellAnchor>
    <xdr:from>
      <xdr:col>4</xdr:col>
      <xdr:colOff>281862</xdr:colOff>
      <xdr:row>8</xdr:row>
      <xdr:rowOff>9719</xdr:rowOff>
    </xdr:from>
    <xdr:to>
      <xdr:col>5</xdr:col>
      <xdr:colOff>349898</xdr:colOff>
      <xdr:row>9</xdr:row>
      <xdr:rowOff>97194</xdr:rowOff>
    </xdr:to>
    <xdr:sp macro="" textlink="FINANCIAL_STATEMENTS!N5">
      <xdr:nvSpPr>
        <xdr:cNvPr id="1033" name="Rectangle: Rounded Corners 1032">
          <a:extLst>
            <a:ext uri="{FF2B5EF4-FFF2-40B4-BE49-F238E27FC236}">
              <a16:creationId xmlns:a16="http://schemas.microsoft.com/office/drawing/2014/main" id="{5EEFE952-6C21-F0DD-1593-A58C4A763C37}"/>
            </a:ext>
          </a:extLst>
        </xdr:cNvPr>
        <xdr:cNvSpPr/>
      </xdr:nvSpPr>
      <xdr:spPr>
        <a:xfrm>
          <a:off x="3139362" y="1564821"/>
          <a:ext cx="680357" cy="281863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D3FE72B-86D0-4BD1-A703-271352FBEE01}" type="TxLink">
            <a:rPr lang="en-US" sz="1100" b="1" i="0" u="none" strike="noStrike">
              <a:solidFill>
                <a:srgbClr val="00B050"/>
              </a:solidFill>
              <a:latin typeface="Calibri"/>
              <a:ea typeface="Calibri"/>
              <a:cs typeface="Calibri"/>
            </a:rPr>
            <a:pPr algn="l"/>
            <a:t>6.426%</a:t>
          </a:fld>
          <a:endParaRPr lang="en-US" sz="1100" b="1">
            <a:solidFill>
              <a:srgbClr val="00B050"/>
            </a:solidFill>
          </a:endParaRPr>
        </a:p>
      </xdr:txBody>
    </xdr:sp>
    <xdr:clientData/>
  </xdr:twoCellAnchor>
  <xdr:twoCellAnchor>
    <xdr:from>
      <xdr:col>7</xdr:col>
      <xdr:colOff>216160</xdr:colOff>
      <xdr:row>8</xdr:row>
      <xdr:rowOff>9719</xdr:rowOff>
    </xdr:from>
    <xdr:to>
      <xdr:col>8</xdr:col>
      <xdr:colOff>322295</xdr:colOff>
      <xdr:row>9</xdr:row>
      <xdr:rowOff>97194</xdr:rowOff>
    </xdr:to>
    <xdr:sp macro="" textlink="FINANCIAL_STATEMENTS!N18">
      <xdr:nvSpPr>
        <xdr:cNvPr id="1034" name="Rectangle: Rounded Corners 1033">
          <a:extLst>
            <a:ext uri="{FF2B5EF4-FFF2-40B4-BE49-F238E27FC236}">
              <a16:creationId xmlns:a16="http://schemas.microsoft.com/office/drawing/2014/main" id="{AB105CCC-A8BD-48EA-A03E-788FD89EB733}"/>
            </a:ext>
          </a:extLst>
        </xdr:cNvPr>
        <xdr:cNvSpPr/>
      </xdr:nvSpPr>
      <xdr:spPr>
        <a:xfrm>
          <a:off x="4910624" y="1564821"/>
          <a:ext cx="718457" cy="281863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E91F7BAF-3D26-4D2B-80DE-DE24408B7B6D}" type="TxLink">
            <a:rPr lang="en-US" sz="1100" b="1" i="0" u="none" strike="noStrike">
              <a:solidFill>
                <a:srgbClr val="00B050"/>
              </a:solidFill>
              <a:latin typeface="Calibri"/>
              <a:ea typeface="Calibri"/>
              <a:cs typeface="Calibri"/>
            </a:rPr>
            <a:pPr algn="l"/>
            <a:t>19.50%</a:t>
          </a:fld>
          <a:endParaRPr lang="en-US" sz="1100" b="1">
            <a:solidFill>
              <a:srgbClr val="00B050"/>
            </a:solidFill>
          </a:endParaRPr>
        </a:p>
      </xdr:txBody>
    </xdr:sp>
    <xdr:clientData/>
  </xdr:twoCellAnchor>
  <xdr:twoCellAnchor>
    <xdr:from>
      <xdr:col>10</xdr:col>
      <xdr:colOff>188557</xdr:colOff>
      <xdr:row>8</xdr:row>
      <xdr:rowOff>9719</xdr:rowOff>
    </xdr:from>
    <xdr:to>
      <xdr:col>11</xdr:col>
      <xdr:colOff>313354</xdr:colOff>
      <xdr:row>9</xdr:row>
      <xdr:rowOff>97194</xdr:rowOff>
    </xdr:to>
    <xdr:sp macro="" textlink="FINANCIAL_STATEMENTS!N74">
      <xdr:nvSpPr>
        <xdr:cNvPr id="1035" name="Rectangle: Rounded Corners 1034">
          <a:extLst>
            <a:ext uri="{FF2B5EF4-FFF2-40B4-BE49-F238E27FC236}">
              <a16:creationId xmlns:a16="http://schemas.microsoft.com/office/drawing/2014/main" id="{A06E79D0-9FE3-4F79-A0D0-718E2D97EDF1}"/>
            </a:ext>
          </a:extLst>
        </xdr:cNvPr>
        <xdr:cNvSpPr/>
      </xdr:nvSpPr>
      <xdr:spPr>
        <a:xfrm>
          <a:off x="6719986" y="1564821"/>
          <a:ext cx="737118" cy="281863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09C1B7F-A0A8-4F47-9A7F-325DF119723A}" type="TxLink">
            <a:rPr lang="en-US" sz="1100" b="1" i="0" u="none" strike="noStrike">
              <a:solidFill>
                <a:srgbClr val="00B050"/>
              </a:solidFill>
              <a:latin typeface="Calibri"/>
              <a:ea typeface="Calibri"/>
              <a:cs typeface="Calibri"/>
            </a:rPr>
            <a:pPr algn="l"/>
            <a:t>10.165%</a:t>
          </a:fld>
          <a:endParaRPr lang="en-US" sz="1100" b="1">
            <a:solidFill>
              <a:srgbClr val="00B050"/>
            </a:solidFill>
          </a:endParaRPr>
        </a:p>
      </xdr:txBody>
    </xdr:sp>
    <xdr:clientData/>
  </xdr:twoCellAnchor>
  <xdr:twoCellAnchor>
    <xdr:from>
      <xdr:col>13</xdr:col>
      <xdr:colOff>179616</xdr:colOff>
      <xdr:row>8</xdr:row>
      <xdr:rowOff>9719</xdr:rowOff>
    </xdr:from>
    <xdr:to>
      <xdr:col>14</xdr:col>
      <xdr:colOff>284196</xdr:colOff>
      <xdr:row>9</xdr:row>
      <xdr:rowOff>97194</xdr:rowOff>
    </xdr:to>
    <xdr:sp macro="" textlink="FINANCIAL_STATEMENTS!N21">
      <xdr:nvSpPr>
        <xdr:cNvPr id="1036" name="Rectangle: Rounded Corners 1035">
          <a:extLst>
            <a:ext uri="{FF2B5EF4-FFF2-40B4-BE49-F238E27FC236}">
              <a16:creationId xmlns:a16="http://schemas.microsoft.com/office/drawing/2014/main" id="{53CAB935-8B49-4A27-A53F-ECECBB1A305E}"/>
            </a:ext>
          </a:extLst>
        </xdr:cNvPr>
        <xdr:cNvSpPr/>
      </xdr:nvSpPr>
      <xdr:spPr>
        <a:xfrm>
          <a:off x="8548009" y="1564821"/>
          <a:ext cx="716901" cy="281863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E23F735-A617-4741-9789-A2C77F3B7F60}" type="TxLink">
            <a:rPr lang="en-US" sz="1100" b="1" i="0" u="none" strike="noStrike">
              <a:solidFill>
                <a:srgbClr val="00B050"/>
              </a:solidFill>
              <a:latin typeface="Calibri"/>
              <a:ea typeface="Calibri"/>
              <a:cs typeface="Calibri"/>
            </a:rPr>
            <a:pPr algn="l"/>
            <a:t>22.586%</a:t>
          </a:fld>
          <a:endParaRPr lang="en-US" sz="1100" b="1">
            <a:solidFill>
              <a:srgbClr val="00B050"/>
            </a:solidFill>
          </a:endParaRPr>
        </a:p>
      </xdr:txBody>
    </xdr:sp>
    <xdr:clientData/>
  </xdr:twoCellAnchor>
  <xdr:twoCellAnchor>
    <xdr:from>
      <xdr:col>16</xdr:col>
      <xdr:colOff>150458</xdr:colOff>
      <xdr:row>8</xdr:row>
      <xdr:rowOff>9719</xdr:rowOff>
    </xdr:from>
    <xdr:to>
      <xdr:col>17</xdr:col>
      <xdr:colOff>370891</xdr:colOff>
      <xdr:row>9</xdr:row>
      <xdr:rowOff>97194</xdr:rowOff>
    </xdr:to>
    <xdr:sp macro="" textlink="FINANCIAL_STATEMENTS!N8">
      <xdr:nvSpPr>
        <xdr:cNvPr id="1037" name="Rectangle: Rounded Corners 1036">
          <a:extLst>
            <a:ext uri="{FF2B5EF4-FFF2-40B4-BE49-F238E27FC236}">
              <a16:creationId xmlns:a16="http://schemas.microsoft.com/office/drawing/2014/main" id="{538A7461-96C3-48D8-B1FF-C16C58D0BFB8}"/>
            </a:ext>
          </a:extLst>
        </xdr:cNvPr>
        <xdr:cNvSpPr/>
      </xdr:nvSpPr>
      <xdr:spPr>
        <a:xfrm>
          <a:off x="10355815" y="1564821"/>
          <a:ext cx="832755" cy="281863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AEFAC11-339B-402E-8CCB-47A305B8B27C}" type="TxLink">
            <a:rPr lang="en-US" sz="1100" b="1" i="0" u="none" strike="noStrike">
              <a:solidFill>
                <a:srgbClr val="00B050"/>
              </a:solidFill>
              <a:latin typeface="Calibri"/>
              <a:ea typeface="Calibri"/>
              <a:cs typeface="Calibri"/>
            </a:rPr>
            <a:pPr algn="l"/>
            <a:t>0.699% pp</a:t>
          </a:fld>
          <a:endParaRPr lang="en-US" sz="1100" b="1">
            <a:solidFill>
              <a:srgbClr val="00B050"/>
            </a:solidFill>
          </a:endParaRPr>
        </a:p>
      </xdr:txBody>
    </xdr:sp>
    <xdr:clientData/>
  </xdr:twoCellAnchor>
  <xdr:twoCellAnchor>
    <xdr:from>
      <xdr:col>19</xdr:col>
      <xdr:colOff>237153</xdr:colOff>
      <xdr:row>8</xdr:row>
      <xdr:rowOff>9719</xdr:rowOff>
    </xdr:from>
    <xdr:to>
      <xdr:col>20</xdr:col>
      <xdr:colOff>379056</xdr:colOff>
      <xdr:row>9</xdr:row>
      <xdr:rowOff>97194</xdr:rowOff>
    </xdr:to>
    <xdr:sp macro="" textlink="FINANCIAL_STATEMENTS!N19">
      <xdr:nvSpPr>
        <xdr:cNvPr id="1038" name="Rectangle: Rounded Corners 1037">
          <a:extLst>
            <a:ext uri="{FF2B5EF4-FFF2-40B4-BE49-F238E27FC236}">
              <a16:creationId xmlns:a16="http://schemas.microsoft.com/office/drawing/2014/main" id="{320F1211-CB35-4647-8B33-8BC632C6E0E1}"/>
            </a:ext>
          </a:extLst>
        </xdr:cNvPr>
        <xdr:cNvSpPr/>
      </xdr:nvSpPr>
      <xdr:spPr>
        <a:xfrm>
          <a:off x="12279474" y="1564821"/>
          <a:ext cx="754225" cy="281863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9131858E-2448-401F-AE02-86BFD11276FC}" type="TxLink">
            <a:rPr lang="en-US" sz="1100" b="1" i="0" u="none" strike="noStrike">
              <a:solidFill>
                <a:srgbClr val="00B050"/>
              </a:solidFill>
              <a:latin typeface="Calibri"/>
              <a:ea typeface="Calibri"/>
              <a:cs typeface="Calibri"/>
            </a:rPr>
            <a:pPr algn="l"/>
            <a:t>2.94% pp</a:t>
          </a:fld>
          <a:endParaRPr lang="en-US" sz="1100" b="1">
            <a:solidFill>
              <a:srgbClr val="00B050"/>
            </a:solidFill>
          </a:endParaRPr>
        </a:p>
      </xdr:txBody>
    </xdr:sp>
    <xdr:clientData/>
  </xdr:twoCellAnchor>
  <xdr:twoCellAnchor>
    <xdr:from>
      <xdr:col>19</xdr:col>
      <xdr:colOff>126352</xdr:colOff>
      <xdr:row>8</xdr:row>
      <xdr:rowOff>74644</xdr:rowOff>
    </xdr:from>
    <xdr:to>
      <xdr:col>19</xdr:col>
      <xdr:colOff>252705</xdr:colOff>
      <xdr:row>9</xdr:row>
      <xdr:rowOff>6606</xdr:rowOff>
    </xdr:to>
    <xdr:sp macro="" textlink="">
      <xdr:nvSpPr>
        <xdr:cNvPr id="1040" name="Isosceles Triangle 1039">
          <a:extLst>
            <a:ext uri="{FF2B5EF4-FFF2-40B4-BE49-F238E27FC236}">
              <a16:creationId xmlns:a16="http://schemas.microsoft.com/office/drawing/2014/main" id="{E3EED64B-528B-4ABA-B6E5-9DA272DEA99D}"/>
            </a:ext>
          </a:extLst>
        </xdr:cNvPr>
        <xdr:cNvSpPr/>
      </xdr:nvSpPr>
      <xdr:spPr>
        <a:xfrm>
          <a:off x="12168673" y="1629746"/>
          <a:ext cx="126353" cy="126350"/>
        </a:xfrm>
        <a:prstGeom prst="triangl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45486</xdr:colOff>
      <xdr:row>8</xdr:row>
      <xdr:rowOff>74644</xdr:rowOff>
    </xdr:from>
    <xdr:to>
      <xdr:col>16</xdr:col>
      <xdr:colOff>171839</xdr:colOff>
      <xdr:row>9</xdr:row>
      <xdr:rowOff>6606</xdr:rowOff>
    </xdr:to>
    <xdr:sp macro="" textlink="">
      <xdr:nvSpPr>
        <xdr:cNvPr id="1041" name="Isosceles Triangle 1040">
          <a:extLst>
            <a:ext uri="{FF2B5EF4-FFF2-40B4-BE49-F238E27FC236}">
              <a16:creationId xmlns:a16="http://schemas.microsoft.com/office/drawing/2014/main" id="{72DD3E52-3362-484F-A193-DF712F310096}"/>
            </a:ext>
          </a:extLst>
        </xdr:cNvPr>
        <xdr:cNvSpPr/>
      </xdr:nvSpPr>
      <xdr:spPr>
        <a:xfrm>
          <a:off x="10250843" y="1629746"/>
          <a:ext cx="126353" cy="126350"/>
        </a:xfrm>
        <a:prstGeom prst="triangl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90972</xdr:colOff>
      <xdr:row>8</xdr:row>
      <xdr:rowOff>74644</xdr:rowOff>
    </xdr:from>
    <xdr:to>
      <xdr:col>13</xdr:col>
      <xdr:colOff>217325</xdr:colOff>
      <xdr:row>9</xdr:row>
      <xdr:rowOff>6606</xdr:rowOff>
    </xdr:to>
    <xdr:sp macro="" textlink="">
      <xdr:nvSpPr>
        <xdr:cNvPr id="1042" name="Isosceles Triangle 1041">
          <a:extLst>
            <a:ext uri="{FF2B5EF4-FFF2-40B4-BE49-F238E27FC236}">
              <a16:creationId xmlns:a16="http://schemas.microsoft.com/office/drawing/2014/main" id="{28091108-098F-4D8F-A0A4-3B39DC595890}"/>
            </a:ext>
          </a:extLst>
        </xdr:cNvPr>
        <xdr:cNvSpPr/>
      </xdr:nvSpPr>
      <xdr:spPr>
        <a:xfrm>
          <a:off x="8459365" y="1629746"/>
          <a:ext cx="126353" cy="126350"/>
        </a:xfrm>
        <a:prstGeom prst="triangl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107301</xdr:colOff>
      <xdr:row>8</xdr:row>
      <xdr:rowOff>74644</xdr:rowOff>
    </xdr:from>
    <xdr:to>
      <xdr:col>10</xdr:col>
      <xdr:colOff>233654</xdr:colOff>
      <xdr:row>9</xdr:row>
      <xdr:rowOff>6606</xdr:rowOff>
    </xdr:to>
    <xdr:sp macro="" textlink="">
      <xdr:nvSpPr>
        <xdr:cNvPr id="1043" name="Isosceles Triangle 1042">
          <a:extLst>
            <a:ext uri="{FF2B5EF4-FFF2-40B4-BE49-F238E27FC236}">
              <a16:creationId xmlns:a16="http://schemas.microsoft.com/office/drawing/2014/main" id="{43ECAA49-172F-409F-AA72-CD063D33C38D}"/>
            </a:ext>
          </a:extLst>
        </xdr:cNvPr>
        <xdr:cNvSpPr/>
      </xdr:nvSpPr>
      <xdr:spPr>
        <a:xfrm>
          <a:off x="6638730" y="1629746"/>
          <a:ext cx="126353" cy="126350"/>
        </a:xfrm>
        <a:prstGeom prst="triangl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8</xdr:row>
      <xdr:rowOff>74644</xdr:rowOff>
    </xdr:from>
    <xdr:to>
      <xdr:col>7</xdr:col>
      <xdr:colOff>259703</xdr:colOff>
      <xdr:row>9</xdr:row>
      <xdr:rowOff>6606</xdr:rowOff>
    </xdr:to>
    <xdr:sp macro="" textlink="">
      <xdr:nvSpPr>
        <xdr:cNvPr id="1044" name="Isosceles Triangle 1043">
          <a:extLst>
            <a:ext uri="{FF2B5EF4-FFF2-40B4-BE49-F238E27FC236}">
              <a16:creationId xmlns:a16="http://schemas.microsoft.com/office/drawing/2014/main" id="{A368A6C2-7E00-4681-A7E9-68DE30E2A14C}"/>
            </a:ext>
          </a:extLst>
        </xdr:cNvPr>
        <xdr:cNvSpPr/>
      </xdr:nvSpPr>
      <xdr:spPr>
        <a:xfrm>
          <a:off x="4827814" y="1629746"/>
          <a:ext cx="126353" cy="126350"/>
        </a:xfrm>
        <a:prstGeom prst="triangl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207995</xdr:colOff>
      <xdr:row>8</xdr:row>
      <xdr:rowOff>74644</xdr:rowOff>
    </xdr:from>
    <xdr:to>
      <xdr:col>4</xdr:col>
      <xdr:colOff>334348</xdr:colOff>
      <xdr:row>9</xdr:row>
      <xdr:rowOff>6606</xdr:rowOff>
    </xdr:to>
    <xdr:sp macro="" textlink="">
      <xdr:nvSpPr>
        <xdr:cNvPr id="1045" name="Isosceles Triangle 1044">
          <a:extLst>
            <a:ext uri="{FF2B5EF4-FFF2-40B4-BE49-F238E27FC236}">
              <a16:creationId xmlns:a16="http://schemas.microsoft.com/office/drawing/2014/main" id="{70D79AC6-DCF9-4C84-AF42-0B1442605B4F}"/>
            </a:ext>
          </a:extLst>
        </xdr:cNvPr>
        <xdr:cNvSpPr/>
      </xdr:nvSpPr>
      <xdr:spPr>
        <a:xfrm>
          <a:off x="3065495" y="1629746"/>
          <a:ext cx="126353" cy="126350"/>
        </a:xfrm>
        <a:prstGeom prst="triangl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301300</xdr:colOff>
      <xdr:row>12</xdr:row>
      <xdr:rowOff>77755</xdr:rowOff>
    </xdr:from>
    <xdr:to>
      <xdr:col>4</xdr:col>
      <xdr:colOff>29158</xdr:colOff>
      <xdr:row>14</xdr:row>
      <xdr:rowOff>29158</xdr:rowOff>
    </xdr:to>
    <xdr:pic>
      <xdr:nvPicPr>
        <xdr:cNvPr id="1047" name="Graphic 1046" descr="Scales of justice with solid fill">
          <a:extLst>
            <a:ext uri="{FF2B5EF4-FFF2-40B4-BE49-F238E27FC236}">
              <a16:creationId xmlns:a16="http://schemas.microsoft.com/office/drawing/2014/main" id="{AF1FE177-0FCB-FAF5-A605-B0839C55FD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546479" y="2410408"/>
          <a:ext cx="340179" cy="340179"/>
        </a:xfrm>
        <a:prstGeom prst="rect">
          <a:avLst/>
        </a:prstGeom>
      </xdr:spPr>
    </xdr:pic>
    <xdr:clientData/>
  </xdr:twoCellAnchor>
  <xdr:twoCellAnchor editAs="oneCell">
    <xdr:from>
      <xdr:col>10</xdr:col>
      <xdr:colOff>68033</xdr:colOff>
      <xdr:row>12</xdr:row>
      <xdr:rowOff>87474</xdr:rowOff>
    </xdr:from>
    <xdr:to>
      <xdr:col>10</xdr:col>
      <xdr:colOff>505406</xdr:colOff>
      <xdr:row>14</xdr:row>
      <xdr:rowOff>136071</xdr:rowOff>
    </xdr:to>
    <xdr:pic>
      <xdr:nvPicPr>
        <xdr:cNvPr id="1049" name="Graphic 1048" descr="Internet with solid fill">
          <a:extLst>
            <a:ext uri="{FF2B5EF4-FFF2-40B4-BE49-F238E27FC236}">
              <a16:creationId xmlns:a16="http://schemas.microsoft.com/office/drawing/2014/main" id="{6B9E8DA6-4D80-F9DF-DF8F-48792CA2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6599462" y="2420127"/>
          <a:ext cx="437373" cy="437373"/>
        </a:xfrm>
        <a:prstGeom prst="rect">
          <a:avLst/>
        </a:prstGeom>
      </xdr:spPr>
    </xdr:pic>
    <xdr:clientData/>
  </xdr:twoCellAnchor>
  <xdr:twoCellAnchor editAs="oneCell">
    <xdr:from>
      <xdr:col>3</xdr:col>
      <xdr:colOff>414799</xdr:colOff>
      <xdr:row>31</xdr:row>
      <xdr:rowOff>138267</xdr:rowOff>
    </xdr:from>
    <xdr:to>
      <xdr:col>4</xdr:col>
      <xdr:colOff>125405</xdr:colOff>
      <xdr:row>33</xdr:row>
      <xdr:rowOff>70266</xdr:rowOff>
    </xdr:to>
    <xdr:pic>
      <xdr:nvPicPr>
        <xdr:cNvPr id="1052" name="Graphic 1051" descr="Body builder with solid fill">
          <a:extLst>
            <a:ext uri="{FF2B5EF4-FFF2-40B4-BE49-F238E27FC236}">
              <a16:creationId xmlns:a16="http://schemas.microsoft.com/office/drawing/2014/main" id="{CB4C4324-1284-41D4-B3EC-74EEE18E2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2650101" y="6091392"/>
          <a:ext cx="317441" cy="316072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0.4183</cdr:x>
      <cdr:y>0.51117</cdr:y>
    </cdr:from>
    <cdr:to>
      <cdr:x>0.8366</cdr:x>
      <cdr:y>0.98759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E569741-37C1-8AA3-A9DA-DAC90654C8B5}"/>
            </a:ext>
          </a:extLst>
        </cdr:cNvPr>
        <cdr:cNvSpPr txBox="1"/>
      </cdr:nvSpPr>
      <cdr:spPr>
        <a:xfrm xmlns:a="http://schemas.openxmlformats.org/drawingml/2006/main">
          <a:off x="914401" y="98107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0.20059</cdr:x>
      <cdr:y>0.4314</cdr:y>
    </cdr:from>
    <cdr:to>
      <cdr:x>0.451</cdr:x>
      <cdr:y>0.8162</cdr:y>
    </cdr:to>
    <cdr:sp macro="" textlink="VALUATION_ENGINE!$H$54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D0CA6C2-6FFB-D658-1526-88E0D79253A3}"/>
            </a:ext>
          </a:extLst>
        </cdr:cNvPr>
        <cdr:cNvSpPr txBox="1"/>
      </cdr:nvSpPr>
      <cdr:spPr>
        <a:xfrm xmlns:a="http://schemas.openxmlformats.org/drawingml/2006/main">
          <a:off x="276225" y="628650"/>
          <a:ext cx="344836" cy="5607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BAC2E33-AAFB-4451-9802-D9BEAEFBB5B3}" type="TxLink">
            <a:rPr lang="en-US" sz="1400" b="1" i="0" u="none" strike="noStrike">
              <a:solidFill>
                <a:srgbClr val="C00000"/>
              </a:solidFill>
              <a:latin typeface="Calibri"/>
              <a:ea typeface="Calibri"/>
              <a:cs typeface="Calibri"/>
            </a:rPr>
            <a:pPr/>
            <a:t>-32.05%</a:t>
          </a:fld>
          <a:endParaRPr lang="en-US" sz="1400">
            <a:solidFill>
              <a:srgbClr val="C00000"/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476250</xdr:colOff>
      <xdr:row>49</xdr:row>
      <xdr:rowOff>190498</xdr:rowOff>
    </xdr:from>
    <xdr:to>
      <xdr:col>13</xdr:col>
      <xdr:colOff>514350</xdr:colOff>
      <xdr:row>69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296B76-8FC1-3D9A-9139-02CDE20B2B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447675</xdr:colOff>
      <xdr:row>5</xdr:row>
      <xdr:rowOff>0</xdr:rowOff>
    </xdr:from>
    <xdr:to>
      <xdr:col>6</xdr:col>
      <xdr:colOff>257175</xdr:colOff>
      <xdr:row>7</xdr:row>
      <xdr:rowOff>142875</xdr:rowOff>
    </xdr:to>
    <xdr:sp macro="[0]!Module3.GeneratePDFRepo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D708276-1DAF-22CA-9F97-52C17D7CBD0F}"/>
            </a:ext>
          </a:extLst>
        </xdr:cNvPr>
        <xdr:cNvSpPr/>
      </xdr:nvSpPr>
      <xdr:spPr>
        <a:xfrm>
          <a:off x="4200525" y="952500"/>
          <a:ext cx="1028700" cy="52387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PDF</a:t>
          </a:r>
        </a:p>
      </xdr:txBody>
    </xdr:sp>
    <xdr:clientData/>
  </xdr:twoCellAnchor>
  <xdr:twoCellAnchor>
    <xdr:from>
      <xdr:col>6</xdr:col>
      <xdr:colOff>361950</xdr:colOff>
      <xdr:row>5</xdr:row>
      <xdr:rowOff>9525</xdr:rowOff>
    </xdr:from>
    <xdr:to>
      <xdr:col>8</xdr:col>
      <xdr:colOff>114299</xdr:colOff>
      <xdr:row>7</xdr:row>
      <xdr:rowOff>152400</xdr:rowOff>
    </xdr:to>
    <xdr:sp macro="[0]!RefreshAll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14CD154-3571-4380-8443-C60205DAFFBF}"/>
            </a:ext>
          </a:extLst>
        </xdr:cNvPr>
        <xdr:cNvSpPr/>
      </xdr:nvSpPr>
      <xdr:spPr>
        <a:xfrm>
          <a:off x="5334000" y="962025"/>
          <a:ext cx="971549" cy="523875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REF</a:t>
          </a:r>
        </a:p>
      </xdr:txBody>
    </xdr:sp>
    <xdr:clientData/>
  </xdr:twoCellAnchor>
  <xdr:twoCellAnchor>
    <xdr:from>
      <xdr:col>4</xdr:col>
      <xdr:colOff>428625</xdr:colOff>
      <xdr:row>9</xdr:row>
      <xdr:rowOff>19050</xdr:rowOff>
    </xdr:from>
    <xdr:to>
      <xdr:col>6</xdr:col>
      <xdr:colOff>495300</xdr:colOff>
      <xdr:row>10</xdr:row>
      <xdr:rowOff>152400</xdr:rowOff>
    </xdr:to>
    <xdr:sp macro="[0]!OpenDashboard" textlink="">
      <xdr:nvSpPr>
        <xdr:cNvPr id="5" name="Rectangle 4">
          <a:extLst>
            <a:ext uri="{FF2B5EF4-FFF2-40B4-BE49-F238E27FC236}">
              <a16:creationId xmlns:a16="http://schemas.microsoft.com/office/drawing/2014/main" id="{2C449081-BBDA-604F-63AD-286E98D751A5}"/>
            </a:ext>
          </a:extLst>
        </xdr:cNvPr>
        <xdr:cNvSpPr/>
      </xdr:nvSpPr>
      <xdr:spPr>
        <a:xfrm>
          <a:off x="4181475" y="1733550"/>
          <a:ext cx="1285875" cy="32385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bg1"/>
              </a:solidFill>
            </a:rPr>
            <a:t>DASHBOARD</a:t>
          </a:r>
        </a:p>
      </xdr:txBody>
    </xdr:sp>
    <xdr:clientData/>
  </xdr:twoCellAnchor>
  <xdr:twoCellAnchor>
    <xdr:from>
      <xdr:col>7</xdr:col>
      <xdr:colOff>47625</xdr:colOff>
      <xdr:row>9</xdr:row>
      <xdr:rowOff>19050</xdr:rowOff>
    </xdr:from>
    <xdr:to>
      <xdr:col>8</xdr:col>
      <xdr:colOff>114300</xdr:colOff>
      <xdr:row>10</xdr:row>
      <xdr:rowOff>142875</xdr:rowOff>
    </xdr:to>
    <xdr:sp macro="[0]!SaveWorkbook" textlink="">
      <xdr:nvSpPr>
        <xdr:cNvPr id="6" name="Rectangle 5">
          <a:extLst>
            <a:ext uri="{FF2B5EF4-FFF2-40B4-BE49-F238E27FC236}">
              <a16:creationId xmlns:a16="http://schemas.microsoft.com/office/drawing/2014/main" id="{FAE1A76B-825F-D0C3-4ABA-67733E9C4A6A}"/>
            </a:ext>
          </a:extLst>
        </xdr:cNvPr>
        <xdr:cNvSpPr/>
      </xdr:nvSpPr>
      <xdr:spPr>
        <a:xfrm>
          <a:off x="5629275" y="1733550"/>
          <a:ext cx="676275" cy="314325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/>
            <a:t>SAVE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519112</xdr:colOff>
      <xdr:row>0</xdr:row>
      <xdr:rowOff>223837</xdr:rowOff>
    </xdr:from>
    <xdr:to>
      <xdr:col>14</xdr:col>
      <xdr:colOff>214312</xdr:colOff>
      <xdr:row>14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CA935D-5A0A-20AC-056E-B5DF079D00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468137E-B29C-4974-B5C6-9DE138B7C1BD}" autoFormatId="16" applyNumberFormats="0" applyBorderFormats="0" applyFontFormats="0" applyPatternFormats="0" applyAlignmentFormats="0" applyWidthHeightFormats="0">
  <queryTableRefresh nextId="15">
    <queryTableFields count="14">
      <queryTableField id="1" name="Fiscal_Year" tableColumnId="1"/>
      <queryTableField id="2" name="Net_Income" tableColumnId="2"/>
      <queryTableField id="3" name="DA" tableColumnId="3"/>
      <queryTableField id="4" name="Non_Cash_Items" tableColumnId="4"/>
      <queryTableField id="5" name="Chg_Receivable" tableColumnId="5"/>
      <queryTableField id="6" name="Chg_Inventory" tableColumnId="6"/>
      <queryTableField id="7" name="Chg_Payable" tableColumnId="7"/>
      <queryTableField id="8" name="Operating_CF" tableColumnId="8"/>
      <queryTableField id="9" name="CapEx" tableColumnId="9"/>
      <queryTableField id="10" name="Share_Repurchases" tableColumnId="10"/>
      <queryTableField id="11" name="Dividends" tableColumnId="11"/>
      <queryTableField id="12" name="Financing_CF" tableColumnId="12"/>
      <queryTableField id="13" name="Net_Cash_Flow" tableColumnId="13"/>
      <queryTableField id="14" name="SBC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E7C0F432-0C5A-4C1B-8A39-82F545BD6AA5}" autoFormatId="16" applyNumberFormats="0" applyBorderFormats="0" applyFontFormats="0" applyPatternFormats="0" applyAlignmentFormats="0" applyWidthHeightFormats="0">
  <queryTableRefresh nextId="14">
    <queryTableFields count="13">
      <queryTableField id="1" name="Fiscal_Year" tableColumnId="1"/>
      <queryTableField id="2" name="Cash" tableColumnId="2"/>
      <queryTableField id="3" name="Receivables" tableColumnId="3"/>
      <queryTableField id="4" name="Inventory" tableColumnId="4"/>
      <queryTableField id="5" name="Current_Assets" tableColumnId="5"/>
      <queryTableField id="6" name="PPE" tableColumnId="6"/>
      <queryTableField id="7" name="LT_Investments" tableColumnId="7"/>
      <queryTableField id="8" name="Total_Assets" tableColumnId="8"/>
      <queryTableField id="9" name="Current_Liabilities" tableColumnId="9"/>
      <queryTableField id="10" name="LT_Debt" tableColumnId="10"/>
      <queryTableField id="11" name="LT_Liabilities" tableColumnId="11"/>
      <queryTableField id="12" name="Total_Liabilities" tableColumnId="12"/>
      <queryTableField id="13" name="Shareholder_Equity" tableColumnId="1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79061B88-A3D5-4460-A08F-E08C12EB334C}" autoFormatId="16" applyNumberFormats="0" applyBorderFormats="0" applyFontFormats="0" applyPatternFormats="0" applyAlignmentFormats="0" applyWidthHeightFormats="0">
  <queryTableRefresh nextId="13">
    <queryTableFields count="12">
      <queryTableField id="1" name="Fiscal_Year" tableColumnId="1"/>
      <queryTableField id="2" name="Revenue" tableColumnId="2"/>
      <queryTableField id="3" name="COGS" tableColumnId="3"/>
      <queryTableField id="4" name="Gross_Profit" tableColumnId="4"/>
      <queryTableField id="5" name="RD_Expense" tableColumnId="5"/>
      <queryTableField id="6" name="SGA_Expense" tableColumnId="6"/>
      <queryTableField id="7" name="Operating_Income" tableColumnId="7"/>
      <queryTableField id="8" name="Pretax_Income" tableColumnId="8"/>
      <queryTableField id="9" name="Tax_provision" tableColumnId="9"/>
      <queryTableField id="10" name="Net_Income" tableColumnId="10"/>
      <queryTableField id="11" name="EPS_Basic" tableColumnId="11"/>
      <queryTableField id="12" name="EPS _Diluted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EB5E4B54-6043-41FE-91E2-3D16E9731728}" autoFormatId="16" applyNumberFormats="0" applyBorderFormats="0" applyFontFormats="0" applyPatternFormats="0" applyAlignmentFormats="0" applyWidthHeightFormats="0">
  <queryTableRefresh nextId="3">
    <queryTableFields count="2">
      <queryTableField id="1" name="Start of Month" tableColumnId="1"/>
      <queryTableField id="2" name="Monthly_Clos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A31DD2D-37E1-4D48-9202-0E38D314CE71}" autoFormatId="16" applyNumberFormats="0" applyBorderFormats="0" applyFontFormats="0" applyPatternFormats="0" applyAlignmentFormats="0" applyWidthHeightFormats="0">
  <queryTableRefresh nextId="3">
    <queryTableFields count="2">
      <queryTableField id="1" name="Date" tableColumnId="1"/>
      <queryTableField id="2" name="Close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8FCEB7A-460E-4B78-96E0-F54ADA6149DC}" autoFormatId="16" applyNumberFormats="0" applyBorderFormats="0" applyFontFormats="0" applyPatternFormats="0" applyAlignmentFormats="0" applyWidthHeightFormats="0">
  <queryTableRefresh nextId="3">
    <queryTableFields count="2">
      <queryTableField id="1" name="Date" tableColumnId="1"/>
      <queryTableField id="2" name="Clos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9E8BE7-F350-46F9-8E07-E2423B4F4B0A}" name="CF_Data" displayName="CF_Data" ref="A1:N12" tableType="queryTable" totalsRowShown="0">
  <autoFilter ref="A1:N12" xr:uid="{F59E8BE7-F350-46F9-8E07-E2423B4F4B0A}"/>
  <tableColumns count="14">
    <tableColumn id="1" xr3:uid="{257F2D15-326F-4C39-911B-F219935148E6}" uniqueName="1" name="Fiscal_Year" queryTableFieldId="1" dataDxfId="5"/>
    <tableColumn id="2" xr3:uid="{1EBF144E-83DE-43C1-BFE8-B59D29F259EE}" uniqueName="2" name="Net_Income" queryTableFieldId="2"/>
    <tableColumn id="3" xr3:uid="{8124DDCD-CEDC-43C9-A241-E7CF23E8229E}" uniqueName="3" name="DA" queryTableFieldId="3"/>
    <tableColumn id="4" xr3:uid="{030791CD-9E67-4E0C-BDEC-254346A85CE3}" uniqueName="4" name="Non_Cash_Items" queryTableFieldId="4"/>
    <tableColumn id="5" xr3:uid="{E529A930-2AF3-4594-A083-6187315DEC13}" uniqueName="5" name="Chg_Receivable" queryTableFieldId="5"/>
    <tableColumn id="6" xr3:uid="{3A14423C-BA7E-4998-8F43-7D30287629C5}" uniqueName="6" name="Chg_Inventory" queryTableFieldId="6"/>
    <tableColumn id="7" xr3:uid="{6796967D-9231-4D63-BAAE-3F038B5A7A88}" uniqueName="7" name="Chg_Payable" queryTableFieldId="7"/>
    <tableColumn id="8" xr3:uid="{89960960-EAEF-4177-93D2-438F6C12304C}" uniqueName="8" name="Operating_CF" queryTableFieldId="8"/>
    <tableColumn id="9" xr3:uid="{8290B267-601B-491E-A637-0D14F3BBB503}" uniqueName="9" name="CapEx" queryTableFieldId="9"/>
    <tableColumn id="10" xr3:uid="{D6963169-5C74-4B2C-A2B5-D9F7CE48E58A}" uniqueName="10" name="Share_Repurchases" queryTableFieldId="10"/>
    <tableColumn id="11" xr3:uid="{0CC42663-062C-447B-857F-686F01E6A1F8}" uniqueName="11" name="Dividends" queryTableFieldId="11"/>
    <tableColumn id="12" xr3:uid="{ED2FB1E9-22F5-42FA-9D93-2C74484E01B3}" uniqueName="12" name="Financing_CF" queryTableFieldId="12"/>
    <tableColumn id="13" xr3:uid="{6EB6F495-1BAC-48CF-A33C-BFAF3EB27C51}" uniqueName="13" name="Net_Cash_Flow" queryTableFieldId="13"/>
    <tableColumn id="14" xr3:uid="{2473E00C-82BF-43A5-8921-AC3B5B482B24}" uniqueName="14" name="SBC" queryTableField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B1D8A7-40B5-4F3B-8BBF-FC0D383BBFB7}" name="BS_Data" displayName="BS_Data" ref="A1:M12" tableType="queryTable" totalsRowShown="0">
  <autoFilter ref="A1:M12" xr:uid="{E8B1D8A7-40B5-4F3B-8BBF-FC0D383BBFB7}"/>
  <tableColumns count="13">
    <tableColumn id="1" xr3:uid="{E0D4CFE5-093B-46D1-8BCB-915CF2F45AB1}" uniqueName="1" name="Fiscal_Year" queryTableFieldId="1" dataDxfId="4"/>
    <tableColumn id="2" xr3:uid="{CAF77142-409F-492D-8928-AECC2DABEC20}" uniqueName="2" name="Cash" queryTableFieldId="2"/>
    <tableColumn id="3" xr3:uid="{5966CF28-E8AB-4C2B-AF85-737386447FA2}" uniqueName="3" name="Receivables" queryTableFieldId="3"/>
    <tableColumn id="4" xr3:uid="{1D2270DC-3119-418E-9606-C8C299E2FDFD}" uniqueName="4" name="Inventory" queryTableFieldId="4"/>
    <tableColumn id="5" xr3:uid="{99FB3D00-AF58-42D3-9BB7-664E7EB07047}" uniqueName="5" name="Current_Assets" queryTableFieldId="5"/>
    <tableColumn id="6" xr3:uid="{97019EDA-7813-4B3D-9914-6689E8A782A9}" uniqueName="6" name="PPE" queryTableFieldId="6"/>
    <tableColumn id="7" xr3:uid="{61238ABF-085A-4B15-B083-AA9A916DD9B1}" uniqueName="7" name="LT_Investments" queryTableFieldId="7"/>
    <tableColumn id="8" xr3:uid="{48928032-033E-43E9-B055-14EA10654579}" uniqueName="8" name="Total_Assets" queryTableFieldId="8"/>
    <tableColumn id="9" xr3:uid="{FD8246B8-82E8-4569-84FD-98EF52094C3B}" uniqueName="9" name="Current_Liabilities" queryTableFieldId="9"/>
    <tableColumn id="10" xr3:uid="{82F928B6-759D-4CD6-AD45-1A3C4A06D409}" uniqueName="10" name="LT_Debt" queryTableFieldId="10"/>
    <tableColumn id="11" xr3:uid="{4EFD8419-92E8-40F5-95B8-9BDFE5427926}" uniqueName="11" name="LT_Liabilities" queryTableFieldId="11"/>
    <tableColumn id="12" xr3:uid="{F9D37B89-1407-4A5F-B0C2-A559A8EC35AE}" uniqueName="12" name="Total_Liabilities" queryTableFieldId="12"/>
    <tableColumn id="13" xr3:uid="{92FD5F9B-ABDC-4D59-A736-1D63F97A7D66}" uniqueName="13" name="Shareholder_Equity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9EC23F-0A74-4301-941A-A10C86E35235}" name="IS_Data" displayName="IS_Data" ref="A1:L12" tableType="queryTable" totalsRowShown="0">
  <autoFilter ref="A1:L12" xr:uid="{2A9EC23F-0A74-4301-941A-A10C86E35235}"/>
  <tableColumns count="12">
    <tableColumn id="1" xr3:uid="{09A285EC-394C-41C2-A851-5AC5A791F008}" uniqueName="1" name="Fiscal_Year" queryTableFieldId="1" dataDxfId="3"/>
    <tableColumn id="2" xr3:uid="{24A2903B-6924-490A-81F8-5AD6D7A94AD7}" uniqueName="2" name="Revenue" queryTableFieldId="2"/>
    <tableColumn id="3" xr3:uid="{689AC6AB-1DEB-40E5-81B7-2C93C8766EA0}" uniqueName="3" name="COGS" queryTableFieldId="3"/>
    <tableColumn id="4" xr3:uid="{03E09795-9E87-47A0-A4D3-C5AE8BCC8519}" uniqueName="4" name="Gross_Profit" queryTableFieldId="4"/>
    <tableColumn id="5" xr3:uid="{674AE8A1-4EEA-413E-A6AB-394BC564D121}" uniqueName="5" name="RD_Expense" queryTableFieldId="5"/>
    <tableColumn id="6" xr3:uid="{62462E5B-E4A5-4CEA-908F-DCC565AA7E2E}" uniqueName="6" name="SGA_Expense" queryTableFieldId="6"/>
    <tableColumn id="7" xr3:uid="{546DAE5F-2103-463D-BFD9-BC82C84C1574}" uniqueName="7" name="Operating_Income" queryTableFieldId="7"/>
    <tableColumn id="8" xr3:uid="{2258E139-99D4-4B91-B902-2EA9C494B5F4}" uniqueName="8" name="Pretax_Income" queryTableFieldId="8"/>
    <tableColumn id="9" xr3:uid="{4E71454D-C115-4986-A299-86DA84585A53}" uniqueName="9" name="Tax_provision" queryTableFieldId="9"/>
    <tableColumn id="10" xr3:uid="{BE17375C-328E-4B0A-9E84-4AD3AB98BE87}" uniqueName="10" name="Net_Income" queryTableFieldId="10"/>
    <tableColumn id="11" xr3:uid="{9D2F7E2C-6523-493E-A537-AE8E0B2524CF}" uniqueName="11" name="EPS_Basic" queryTableFieldId="11"/>
    <tableColumn id="12" xr3:uid="{53297AAE-A0F6-4BCA-B188-4EC04D57DE34}" uniqueName="12" name="EPS _Diluted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860CCB7-5FBB-4D37-BCA6-6E4E1DC836A0}" name="AAPL_Data" displayName="AAPL_Data" ref="A1:B131" tableType="queryTable" totalsRowShown="0">
  <autoFilter ref="A1:B131" xr:uid="{2860CCB7-5FBB-4D37-BCA6-6E4E1DC836A0}"/>
  <tableColumns count="2">
    <tableColumn id="1" xr3:uid="{DDA8BF00-AD7E-45B3-8AF9-FC68617B8DEB}" uniqueName="1" name="Start of Month" queryTableFieldId="1" dataDxfId="2"/>
    <tableColumn id="2" xr3:uid="{46F89EB3-BE43-43AC-9C96-5BDE4313F639}" uniqueName="2" name="Monthly_Close" queryTableFieldId="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8E24B-A1A0-418F-8CA8-4A9B963E46EE}" name="GSPC_Data" displayName="GSPC_Data" ref="A1:B133" tableType="queryTable" totalsRowShown="0">
  <autoFilter ref="A1:B133" xr:uid="{0F98E24B-A1A0-418F-8CA8-4A9B963E46EE}"/>
  <sortState xmlns:xlrd2="http://schemas.microsoft.com/office/spreadsheetml/2017/richdata2" ref="A2:B133">
    <sortCondition ref="A1:A133"/>
  </sortState>
  <tableColumns count="2">
    <tableColumn id="1" xr3:uid="{FAE59E9B-79EA-42BF-8A62-DAF2B9377A55}" uniqueName="1" name="Date" queryTableFieldId="1" dataDxfId="1"/>
    <tableColumn id="2" xr3:uid="{2F7056D7-9B32-4A61-80D0-3C4451FF5F5A}" uniqueName="2" name="Close" queryTableField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EEA0C1-8D4B-4DBE-B5EC-6AA0B85CBBE4}" name="MSFT_Data" displayName="MSFT_Data" ref="A1:B133" tableType="queryTable" totalsRowShown="0">
  <autoFilter ref="A1:B133" xr:uid="{F4EEA0C1-8D4B-4DBE-B5EC-6AA0B85CBBE4}"/>
  <sortState xmlns:xlrd2="http://schemas.microsoft.com/office/spreadsheetml/2017/richdata2" ref="A2:B133">
    <sortCondition ref="A1:A133"/>
  </sortState>
  <tableColumns count="2">
    <tableColumn id="1" xr3:uid="{D7D80B19-4F7F-4489-87A4-BBE049F55735}" uniqueName="1" name="Date" queryTableFieldId="1" dataDxfId="0"/>
    <tableColumn id="2" xr3:uid="{58817B6E-C31F-47B1-A553-630F39B2CFF6}" uniqueName="2" name="Close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D8C00-A802-42D8-9CD3-E61CFC6D63E0}">
  <sheetPr codeName="Sheet1">
    <tabColor rgb="FF0070C0"/>
    <pageSetUpPr fitToPage="1"/>
  </sheetPr>
  <dimension ref="B8:I55"/>
  <sheetViews>
    <sheetView showGridLines="0" zoomScale="57" zoomScaleNormal="57" workbookViewId="0">
      <selection activeCell="AG31" sqref="AG31"/>
    </sheetView>
  </sheetViews>
  <sheetFormatPr defaultRowHeight="15" x14ac:dyDescent="0.25"/>
  <cols>
    <col min="1" max="1" width="9.140625" style="40"/>
    <col min="2" max="2" width="24.42578125" style="40" customWidth="1"/>
    <col min="3" max="3" width="9.140625" style="40" hidden="1" customWidth="1"/>
    <col min="4" max="21" width="9.140625" style="40"/>
    <col min="22" max="22" width="4.5703125" style="40" customWidth="1"/>
    <col min="23" max="16384" width="9.140625" style="40"/>
  </cols>
  <sheetData>
    <row r="8" spans="2:2" x14ac:dyDescent="0.25">
      <c r="B8"/>
    </row>
    <row r="54" spans="9:9" x14ac:dyDescent="0.25">
      <c r="I54" s="44"/>
    </row>
    <row r="55" spans="9:9" x14ac:dyDescent="0.25">
      <c r="I55" s="44"/>
    </row>
  </sheetData>
  <pageMargins left="0.3" right="0.3" top="0.3" bottom="0.3" header="0.3" footer="0.3"/>
  <pageSetup paperSize="9" scale="74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0828E-C34C-44C0-9A3B-0B7FD4D246F1}">
  <sheetPr codeName="Sheet2">
    <tabColor theme="7" tint="0.39997558519241921"/>
  </sheetPr>
  <dimension ref="A1:E37"/>
  <sheetViews>
    <sheetView showGridLines="0" zoomScale="77" zoomScaleNormal="77" workbookViewId="0">
      <selection activeCell="B9" sqref="B9"/>
    </sheetView>
  </sheetViews>
  <sheetFormatPr defaultRowHeight="15" x14ac:dyDescent="0.25"/>
  <cols>
    <col min="1" max="1" width="24" customWidth="1"/>
    <col min="2" max="2" width="17.85546875" customWidth="1"/>
    <col min="3" max="3" width="14.140625" customWidth="1"/>
    <col min="4" max="4" width="19.7109375" customWidth="1"/>
    <col min="5" max="5" width="12" customWidth="1"/>
  </cols>
  <sheetData>
    <row r="1" spans="1:5" x14ac:dyDescent="0.25">
      <c r="A1" s="13" t="s">
        <v>88</v>
      </c>
    </row>
    <row r="2" spans="1:5" x14ac:dyDescent="0.25">
      <c r="A2" t="s">
        <v>89</v>
      </c>
      <c r="B2" s="14" t="s">
        <v>90</v>
      </c>
    </row>
    <row r="3" spans="1:5" x14ac:dyDescent="0.25">
      <c r="A3" t="s">
        <v>91</v>
      </c>
      <c r="B3" s="14" t="s">
        <v>92</v>
      </c>
    </row>
    <row r="4" spans="1:5" x14ac:dyDescent="0.25">
      <c r="A4" t="s">
        <v>93</v>
      </c>
      <c r="B4" s="14" t="s">
        <v>94</v>
      </c>
    </row>
    <row r="5" spans="1:5" x14ac:dyDescent="0.25">
      <c r="A5" t="s">
        <v>95</v>
      </c>
      <c r="B5" s="14" t="s">
        <v>96</v>
      </c>
    </row>
    <row r="6" spans="1:5" x14ac:dyDescent="0.25">
      <c r="A6" t="s">
        <v>97</v>
      </c>
      <c r="B6" s="14" t="s">
        <v>98</v>
      </c>
    </row>
    <row r="8" spans="1:5" x14ac:dyDescent="0.25">
      <c r="A8" s="13" t="s">
        <v>99</v>
      </c>
    </row>
    <row r="9" spans="1:5" x14ac:dyDescent="0.25">
      <c r="A9" t="s">
        <v>100</v>
      </c>
      <c r="B9" s="15" t="s">
        <v>203</v>
      </c>
    </row>
    <row r="11" spans="1:5" x14ac:dyDescent="0.25">
      <c r="A11" s="13" t="s">
        <v>101</v>
      </c>
      <c r="D11" s="13" t="s">
        <v>102</v>
      </c>
    </row>
    <row r="12" spans="1:5" x14ac:dyDescent="0.25">
      <c r="A12" t="s">
        <v>103</v>
      </c>
      <c r="B12" s="14">
        <v>8.5000000000000006E-2</v>
      </c>
      <c r="D12" t="s">
        <v>103</v>
      </c>
      <c r="E12" s="14">
        <v>0.12</v>
      </c>
    </row>
    <row r="13" spans="1:5" x14ac:dyDescent="0.25">
      <c r="A13" t="s">
        <v>7</v>
      </c>
      <c r="B13" s="14">
        <v>0.435</v>
      </c>
      <c r="D13" t="s">
        <v>7</v>
      </c>
      <c r="E13" s="14">
        <v>0.46</v>
      </c>
    </row>
    <row r="14" spans="1:5" x14ac:dyDescent="0.25">
      <c r="A14" t="s">
        <v>12</v>
      </c>
      <c r="B14" s="14">
        <v>0.29799999999999999</v>
      </c>
      <c r="D14" t="s">
        <v>12</v>
      </c>
      <c r="E14" s="14">
        <v>0.33</v>
      </c>
    </row>
    <row r="15" spans="1:5" x14ac:dyDescent="0.25">
      <c r="A15" t="s">
        <v>15</v>
      </c>
      <c r="B15" s="14">
        <v>0.24099999999999999</v>
      </c>
      <c r="D15" t="s">
        <v>15</v>
      </c>
      <c r="E15" s="14">
        <v>0.27</v>
      </c>
    </row>
    <row r="16" spans="1:5" x14ac:dyDescent="0.25">
      <c r="A16" t="s">
        <v>104</v>
      </c>
      <c r="B16" s="14">
        <v>0.15</v>
      </c>
      <c r="D16" t="s">
        <v>104</v>
      </c>
      <c r="E16" s="14">
        <v>0.14000000000000001</v>
      </c>
    </row>
    <row r="17" spans="1:5" x14ac:dyDescent="0.25">
      <c r="A17" t="s">
        <v>105</v>
      </c>
      <c r="B17" s="14">
        <v>0.03</v>
      </c>
      <c r="D17" t="s">
        <v>105</v>
      </c>
      <c r="E17" s="14">
        <v>2.5000000000000001E-2</v>
      </c>
    </row>
    <row r="18" spans="1:5" x14ac:dyDescent="0.25">
      <c r="A18" t="s">
        <v>106</v>
      </c>
      <c r="B18" s="14">
        <v>5</v>
      </c>
      <c r="D18" t="s">
        <v>106</v>
      </c>
      <c r="E18" s="14">
        <v>5</v>
      </c>
    </row>
    <row r="21" spans="1:5" x14ac:dyDescent="0.25">
      <c r="A21" s="13" t="s">
        <v>107</v>
      </c>
      <c r="D21" s="13" t="s">
        <v>108</v>
      </c>
    </row>
    <row r="22" spans="1:5" x14ac:dyDescent="0.25">
      <c r="A22" t="s">
        <v>103</v>
      </c>
      <c r="B22" s="14">
        <v>0.04</v>
      </c>
      <c r="D22" t="s">
        <v>109</v>
      </c>
      <c r="E22" s="14">
        <v>0.11</v>
      </c>
    </row>
    <row r="23" spans="1:5" x14ac:dyDescent="0.25">
      <c r="A23" t="s">
        <v>7</v>
      </c>
      <c r="B23" s="14">
        <v>0.4</v>
      </c>
      <c r="D23" t="s">
        <v>110</v>
      </c>
      <c r="E23" s="14">
        <v>2.5000000000000001E-2</v>
      </c>
    </row>
    <row r="24" spans="1:5" x14ac:dyDescent="0.25">
      <c r="A24" t="s">
        <v>12</v>
      </c>
      <c r="B24" s="14">
        <v>0.25</v>
      </c>
      <c r="D24" t="s">
        <v>111</v>
      </c>
      <c r="E24" s="14">
        <v>4.4999999999999998E-2</v>
      </c>
    </row>
    <row r="25" spans="1:5" x14ac:dyDescent="0.25">
      <c r="A25" t="s">
        <v>15</v>
      </c>
      <c r="B25" s="14">
        <v>0.2</v>
      </c>
      <c r="D25" t="s">
        <v>112</v>
      </c>
      <c r="E25" s="14">
        <v>5.5E-2</v>
      </c>
    </row>
    <row r="26" spans="1:5" x14ac:dyDescent="0.25">
      <c r="A26" t="s">
        <v>104</v>
      </c>
      <c r="B26" s="14">
        <v>0.17</v>
      </c>
      <c r="D26" t="s">
        <v>113</v>
      </c>
      <c r="E26" s="14">
        <v>1.2</v>
      </c>
    </row>
    <row r="27" spans="1:5" x14ac:dyDescent="0.25">
      <c r="A27" t="s">
        <v>105</v>
      </c>
      <c r="B27" s="14">
        <v>0.04</v>
      </c>
      <c r="D27" t="s">
        <v>114</v>
      </c>
      <c r="E27" s="14">
        <v>210</v>
      </c>
    </row>
    <row r="28" spans="1:5" x14ac:dyDescent="0.25">
      <c r="A28" t="s">
        <v>106</v>
      </c>
      <c r="B28" s="14">
        <v>5</v>
      </c>
      <c r="D28" t="s">
        <v>115</v>
      </c>
      <c r="E28" s="17">
        <v>15.02</v>
      </c>
    </row>
    <row r="31" spans="1:5" x14ac:dyDescent="0.25">
      <c r="A31" s="23" t="s">
        <v>158</v>
      </c>
    </row>
    <row r="32" spans="1:5" x14ac:dyDescent="0.25">
      <c r="A32" t="s">
        <v>159</v>
      </c>
      <c r="B32" s="21">
        <f>IF(B9="Bull",E12,IF(B9="Bear",B22,IF(B9="Base",B12,"")))</f>
        <v>8.5000000000000006E-2</v>
      </c>
    </row>
    <row r="33" spans="1:5" x14ac:dyDescent="0.25">
      <c r="A33" t="s">
        <v>160</v>
      </c>
      <c r="B33" s="21">
        <f>IF(B9="Bull",E13,IF(B9="Bear",B23,IF(B9="Base",B13,"")))</f>
        <v>0.435</v>
      </c>
      <c r="D33" s="37" t="s">
        <v>213</v>
      </c>
      <c r="E33" s="37">
        <v>3071</v>
      </c>
    </row>
    <row r="34" spans="1:5" x14ac:dyDescent="0.25">
      <c r="A34" t="s">
        <v>161</v>
      </c>
      <c r="B34" s="21">
        <f>IF(B9="Bull",E14,IF(B9="Bear",B24,IF(B9="Base",B14,"")))</f>
        <v>0.29799999999999999</v>
      </c>
    </row>
    <row r="35" spans="1:5" x14ac:dyDescent="0.25">
      <c r="A35" t="s">
        <v>162</v>
      </c>
      <c r="B35" s="21">
        <f>IF(B9="Bull",E15,IF(B9="Bear",B25,IF(B9="Base",B15,"")))</f>
        <v>0.24099999999999999</v>
      </c>
    </row>
    <row r="36" spans="1:5" x14ac:dyDescent="0.25">
      <c r="A36" t="s">
        <v>163</v>
      </c>
      <c r="B36" s="21">
        <f>IF(B9="Bull",E16,IF(B9="Bear",B26,IF(B9="Base",B16,"")))</f>
        <v>0.15</v>
      </c>
    </row>
    <row r="37" spans="1:5" x14ac:dyDescent="0.25">
      <c r="A37" t="s">
        <v>164</v>
      </c>
      <c r="B37" s="21">
        <f>IF(B9="Bull",E17,IF(B9="Bear",B27,IF(B9="Base",B17,"")))</f>
        <v>0.03</v>
      </c>
    </row>
  </sheetData>
  <dataValidations count="1">
    <dataValidation type="list" sqref="B9" xr:uid="{CDAC0F0D-8FAA-4F23-959E-A01FA1838BA6}">
      <formula1>"Base,Bull,Bear"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BDF06-60A9-448F-BA9E-7B9EF5432E67}">
  <sheetPr codeName="Sheet3">
    <tabColor theme="9"/>
  </sheetPr>
  <dimension ref="A1"/>
  <sheetViews>
    <sheetView zoomScale="78" zoomScaleNormal="78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017E1-A182-4C0E-A2A4-AFA0EDD6D463}">
  <sheetPr codeName="Sheet4"/>
  <dimension ref="A1:N12"/>
  <sheetViews>
    <sheetView workbookViewId="0">
      <selection activeCell="K4" sqref="K4"/>
    </sheetView>
  </sheetViews>
  <sheetFormatPr defaultRowHeight="15" x14ac:dyDescent="0.25"/>
  <cols>
    <col min="1" max="1" width="13.140625" bestFit="1" customWidth="1"/>
    <col min="2" max="2" width="14.140625" bestFit="1" customWidth="1"/>
    <col min="3" max="3" width="6" bestFit="1" customWidth="1"/>
    <col min="4" max="4" width="18.28515625" bestFit="1" customWidth="1"/>
    <col min="5" max="5" width="17.42578125" bestFit="1" customWidth="1"/>
    <col min="6" max="6" width="16.28515625" bestFit="1" customWidth="1"/>
    <col min="7" max="7" width="14.5703125" bestFit="1" customWidth="1"/>
    <col min="8" max="8" width="15.42578125" bestFit="1" customWidth="1"/>
    <col min="9" max="9" width="8.5703125" bestFit="1" customWidth="1"/>
    <col min="10" max="10" width="20.7109375" bestFit="1" customWidth="1"/>
    <col min="11" max="11" width="12.140625" bestFit="1" customWidth="1"/>
    <col min="12" max="12" width="14.85546875" bestFit="1" customWidth="1"/>
    <col min="13" max="13" width="17.140625" bestFit="1" customWidth="1"/>
    <col min="14" max="14" width="6.5703125" bestFit="1" customWidth="1"/>
  </cols>
  <sheetData>
    <row r="1" spans="1:14" x14ac:dyDescent="0.25">
      <c r="A1" t="s">
        <v>19</v>
      </c>
      <c r="B1" t="s">
        <v>27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</row>
    <row r="2" spans="1:14" x14ac:dyDescent="0.25">
      <c r="A2" s="1">
        <v>45930</v>
      </c>
      <c r="B2">
        <v>112010</v>
      </c>
      <c r="C2">
        <v>11698</v>
      </c>
      <c r="D2">
        <v>24472</v>
      </c>
      <c r="E2">
        <v>-6682</v>
      </c>
      <c r="F2">
        <v>1400</v>
      </c>
      <c r="G2">
        <v>902</v>
      </c>
      <c r="H2">
        <v>111482</v>
      </c>
      <c r="I2">
        <v>-12715</v>
      </c>
      <c r="J2">
        <v>-90711</v>
      </c>
      <c r="K2">
        <v>-15421</v>
      </c>
      <c r="L2">
        <v>-120686</v>
      </c>
      <c r="M2">
        <v>5991</v>
      </c>
      <c r="N2">
        <v>12863</v>
      </c>
    </row>
    <row r="3" spans="1:14" x14ac:dyDescent="0.25">
      <c r="A3" s="1">
        <v>45565</v>
      </c>
      <c r="B3">
        <v>93736</v>
      </c>
      <c r="C3">
        <v>11445</v>
      </c>
      <c r="D3">
        <v>20867</v>
      </c>
      <c r="E3">
        <v>-3788</v>
      </c>
      <c r="F3">
        <v>-1046</v>
      </c>
      <c r="G3">
        <v>6020</v>
      </c>
      <c r="H3">
        <v>118254</v>
      </c>
      <c r="I3">
        <v>-9447</v>
      </c>
      <c r="J3">
        <v>-94949</v>
      </c>
      <c r="K3">
        <v>-15234</v>
      </c>
      <c r="L3">
        <v>-121983</v>
      </c>
      <c r="M3">
        <v>-794</v>
      </c>
      <c r="N3">
        <v>11688</v>
      </c>
    </row>
    <row r="4" spans="1:14" x14ac:dyDescent="0.25">
      <c r="A4" s="1">
        <v>45199</v>
      </c>
      <c r="B4">
        <v>96995</v>
      </c>
      <c r="C4">
        <v>11519</v>
      </c>
      <c r="D4">
        <v>20125</v>
      </c>
      <c r="E4">
        <v>-1688</v>
      </c>
      <c r="F4">
        <v>-1618</v>
      </c>
      <c r="G4">
        <v>-1889</v>
      </c>
      <c r="H4">
        <v>110543</v>
      </c>
      <c r="I4">
        <v>-10959</v>
      </c>
      <c r="J4">
        <v>-77550</v>
      </c>
      <c r="K4">
        <v>-15025</v>
      </c>
      <c r="L4">
        <v>-108488</v>
      </c>
      <c r="M4">
        <v>5760</v>
      </c>
      <c r="N4">
        <v>10833</v>
      </c>
    </row>
    <row r="5" spans="1:14" x14ac:dyDescent="0.25">
      <c r="A5" s="1">
        <v>44834</v>
      </c>
      <c r="B5">
        <v>99803</v>
      </c>
      <c r="C5">
        <v>11104</v>
      </c>
      <c r="D5">
        <v>21148</v>
      </c>
      <c r="E5">
        <v>-1823</v>
      </c>
      <c r="F5">
        <v>1484</v>
      </c>
      <c r="G5">
        <v>9448</v>
      </c>
      <c r="H5">
        <v>122151</v>
      </c>
      <c r="I5">
        <v>-10708</v>
      </c>
      <c r="J5">
        <v>-89402</v>
      </c>
      <c r="K5">
        <v>-14841</v>
      </c>
      <c r="L5">
        <v>-110749</v>
      </c>
      <c r="M5">
        <v>-10952</v>
      </c>
      <c r="N5">
        <v>9038</v>
      </c>
    </row>
    <row r="6" spans="1:14" x14ac:dyDescent="0.25">
      <c r="A6" s="1">
        <v>44469</v>
      </c>
      <c r="B6">
        <v>94680</v>
      </c>
      <c r="C6">
        <v>11284</v>
      </c>
      <c r="D6">
        <v>14269</v>
      </c>
      <c r="E6">
        <v>-10125</v>
      </c>
      <c r="F6">
        <v>-2642</v>
      </c>
      <c r="G6">
        <v>12326</v>
      </c>
      <c r="H6">
        <v>104038</v>
      </c>
      <c r="I6">
        <v>-11085</v>
      </c>
      <c r="J6">
        <v>-85971</v>
      </c>
      <c r="K6">
        <v>-14467</v>
      </c>
      <c r="L6">
        <v>-93353</v>
      </c>
      <c r="M6">
        <v>-3860</v>
      </c>
      <c r="N6">
        <v>7906</v>
      </c>
    </row>
    <row r="7" spans="1:14" x14ac:dyDescent="0.25">
      <c r="A7" s="1">
        <v>44104</v>
      </c>
      <c r="B7">
        <v>57411</v>
      </c>
      <c r="C7">
        <v>11056</v>
      </c>
      <c r="D7">
        <v>17573</v>
      </c>
      <c r="E7">
        <v>6917</v>
      </c>
      <c r="F7">
        <v>-127</v>
      </c>
      <c r="G7">
        <v>-4062</v>
      </c>
      <c r="H7">
        <v>80674</v>
      </c>
      <c r="I7">
        <v>-7309</v>
      </c>
      <c r="J7">
        <v>-72358</v>
      </c>
      <c r="K7">
        <v>-14081</v>
      </c>
      <c r="L7">
        <v>-86820</v>
      </c>
      <c r="M7">
        <v>-10435</v>
      </c>
      <c r="N7">
        <v>6829</v>
      </c>
    </row>
    <row r="8" spans="1:14" x14ac:dyDescent="0.25">
      <c r="A8" s="1">
        <v>43738</v>
      </c>
      <c r="B8">
        <v>55256</v>
      </c>
      <c r="C8">
        <v>12547</v>
      </c>
      <c r="D8">
        <v>17623</v>
      </c>
      <c r="E8">
        <v>245</v>
      </c>
      <c r="F8">
        <v>-289</v>
      </c>
      <c r="G8">
        <v>-1923</v>
      </c>
      <c r="H8">
        <v>69391</v>
      </c>
      <c r="I8">
        <v>-10495</v>
      </c>
      <c r="J8">
        <v>-66116</v>
      </c>
      <c r="K8">
        <v>-14119</v>
      </c>
      <c r="L8">
        <v>-90976</v>
      </c>
      <c r="M8">
        <v>24311</v>
      </c>
      <c r="N8">
        <v>6068</v>
      </c>
    </row>
    <row r="9" spans="1:14" x14ac:dyDescent="0.25">
      <c r="A9" s="1">
        <v>43373</v>
      </c>
      <c r="B9">
        <v>59531</v>
      </c>
      <c r="C9">
        <v>10903</v>
      </c>
      <c r="D9">
        <v>-16791</v>
      </c>
      <c r="E9">
        <v>-5322</v>
      </c>
      <c r="F9">
        <v>828</v>
      </c>
      <c r="G9">
        <v>9175</v>
      </c>
      <c r="H9">
        <v>77434</v>
      </c>
      <c r="I9">
        <v>-13313</v>
      </c>
      <c r="J9">
        <v>-72069</v>
      </c>
      <c r="K9">
        <v>-13712</v>
      </c>
      <c r="L9">
        <v>-87876</v>
      </c>
      <c r="M9">
        <v>5624</v>
      </c>
      <c r="N9">
        <v>5340</v>
      </c>
    </row>
    <row r="10" spans="1:14" x14ac:dyDescent="0.25">
      <c r="A10" s="1">
        <v>43008</v>
      </c>
      <c r="B10">
        <v>48351</v>
      </c>
      <c r="C10">
        <v>10157</v>
      </c>
      <c r="D10">
        <v>20797</v>
      </c>
      <c r="E10">
        <v>-2093</v>
      </c>
      <c r="F10">
        <v>-2723</v>
      </c>
      <c r="G10">
        <v>8966</v>
      </c>
      <c r="H10">
        <v>64225</v>
      </c>
      <c r="I10">
        <v>-12451</v>
      </c>
      <c r="J10">
        <v>-32345</v>
      </c>
      <c r="K10">
        <v>-12769</v>
      </c>
      <c r="L10">
        <v>-17974</v>
      </c>
      <c r="M10">
        <v>-195</v>
      </c>
      <c r="N10">
        <v>4840</v>
      </c>
    </row>
    <row r="11" spans="1:14" x14ac:dyDescent="0.25">
      <c r="A11" s="1">
        <v>42643</v>
      </c>
      <c r="B11">
        <v>45687</v>
      </c>
      <c r="C11">
        <v>10505</v>
      </c>
      <c r="D11">
        <v>20139</v>
      </c>
      <c r="E11">
        <v>527</v>
      </c>
      <c r="F11">
        <v>217</v>
      </c>
      <c r="G11">
        <v>2117</v>
      </c>
      <c r="H11">
        <v>66231</v>
      </c>
      <c r="I11">
        <v>-12734</v>
      </c>
      <c r="J11">
        <v>-30797</v>
      </c>
      <c r="K11">
        <v>-12150</v>
      </c>
      <c r="L11">
        <v>-20890</v>
      </c>
      <c r="M11">
        <v>-636</v>
      </c>
      <c r="N11">
        <v>4210</v>
      </c>
    </row>
    <row r="12" spans="1:14" x14ac:dyDescent="0.25">
      <c r="A12" s="1">
        <v>42277</v>
      </c>
      <c r="B12">
        <v>53394</v>
      </c>
      <c r="C12">
        <v>11257</v>
      </c>
      <c r="D12">
        <v>16610</v>
      </c>
      <c r="E12">
        <v>417</v>
      </c>
      <c r="F12">
        <v>-238</v>
      </c>
      <c r="G12">
        <v>5001</v>
      </c>
      <c r="H12">
        <v>81266</v>
      </c>
      <c r="I12">
        <v>-11247</v>
      </c>
      <c r="J12">
        <v>-34710</v>
      </c>
      <c r="K12">
        <v>-11561</v>
      </c>
      <c r="L12">
        <v>-17716</v>
      </c>
      <c r="M12">
        <v>7276</v>
      </c>
      <c r="N12">
        <v>3586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F046F-C2D4-4CD3-84BA-419BB187B7D4}">
  <sheetPr codeName="Sheet5"/>
  <dimension ref="A1:M12"/>
  <sheetViews>
    <sheetView workbookViewId="0">
      <selection activeCell="J1" sqref="J1"/>
    </sheetView>
  </sheetViews>
  <sheetFormatPr defaultRowHeight="15" x14ac:dyDescent="0.25"/>
  <cols>
    <col min="1" max="1" width="13.140625" bestFit="1" customWidth="1"/>
    <col min="2" max="2" width="7.42578125" bestFit="1" customWidth="1"/>
    <col min="3" max="3" width="13.85546875" bestFit="1" customWidth="1"/>
    <col min="4" max="4" width="11.85546875" bestFit="1" customWidth="1"/>
    <col min="5" max="5" width="16.85546875" bestFit="1" customWidth="1"/>
    <col min="6" max="6" width="6.5703125" bestFit="1" customWidth="1"/>
    <col min="7" max="7" width="17.28515625" bestFit="1" customWidth="1"/>
    <col min="8" max="8" width="14.42578125" bestFit="1" customWidth="1"/>
    <col min="9" max="9" width="19.85546875" bestFit="1" customWidth="1"/>
    <col min="10" max="10" width="10.42578125" bestFit="1" customWidth="1"/>
    <col min="11" max="11" width="14.7109375" bestFit="1" customWidth="1"/>
    <col min="12" max="12" width="17.42578125" bestFit="1" customWidth="1"/>
    <col min="13" max="13" width="21" bestFit="1" customWidth="1"/>
  </cols>
  <sheetData>
    <row r="1" spans="1:13" x14ac:dyDescent="0.25">
      <c r="A1" t="s">
        <v>19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</row>
    <row r="2" spans="1:13" x14ac:dyDescent="0.25">
      <c r="A2" s="1">
        <v>45930</v>
      </c>
      <c r="B2">
        <v>54697</v>
      </c>
      <c r="C2">
        <v>72957</v>
      </c>
      <c r="D2">
        <v>5718</v>
      </c>
      <c r="E2">
        <v>147957</v>
      </c>
      <c r="F2">
        <v>49834</v>
      </c>
      <c r="G2">
        <v>77723</v>
      </c>
      <c r="H2">
        <v>359241</v>
      </c>
      <c r="I2">
        <v>165631</v>
      </c>
      <c r="J2">
        <v>78328</v>
      </c>
      <c r="K2">
        <v>119877</v>
      </c>
      <c r="L2">
        <v>285508</v>
      </c>
      <c r="M2">
        <v>73733</v>
      </c>
    </row>
    <row r="3" spans="1:13" x14ac:dyDescent="0.25">
      <c r="A3" s="1">
        <v>45565</v>
      </c>
      <c r="B3">
        <v>65171</v>
      </c>
      <c r="C3">
        <v>66243</v>
      </c>
      <c r="D3">
        <v>7286</v>
      </c>
      <c r="E3">
        <v>152987</v>
      </c>
      <c r="F3">
        <v>45680</v>
      </c>
      <c r="G3">
        <v>91479</v>
      </c>
      <c r="H3">
        <v>364980</v>
      </c>
      <c r="I3">
        <v>176392</v>
      </c>
      <c r="J3">
        <v>85750</v>
      </c>
      <c r="K3">
        <v>131638</v>
      </c>
      <c r="L3">
        <v>308030</v>
      </c>
      <c r="M3">
        <v>56950</v>
      </c>
    </row>
    <row r="4" spans="1:13" x14ac:dyDescent="0.25">
      <c r="A4" s="1">
        <v>45199</v>
      </c>
      <c r="B4">
        <v>61555</v>
      </c>
      <c r="C4">
        <v>60985</v>
      </c>
      <c r="D4">
        <v>6331</v>
      </c>
      <c r="E4">
        <v>143566</v>
      </c>
      <c r="F4">
        <v>43715</v>
      </c>
      <c r="G4">
        <v>100544</v>
      </c>
      <c r="H4">
        <v>352583</v>
      </c>
      <c r="I4">
        <v>145308</v>
      </c>
      <c r="J4">
        <v>95281</v>
      </c>
      <c r="K4">
        <v>145129</v>
      </c>
      <c r="L4">
        <v>290437</v>
      </c>
      <c r="M4">
        <v>62146</v>
      </c>
    </row>
    <row r="5" spans="1:13" x14ac:dyDescent="0.25">
      <c r="A5" s="1">
        <v>44834</v>
      </c>
      <c r="B5">
        <v>48304</v>
      </c>
      <c r="C5">
        <v>60932</v>
      </c>
      <c r="D5">
        <v>4946</v>
      </c>
      <c r="E5">
        <v>135405</v>
      </c>
      <c r="F5">
        <v>42117</v>
      </c>
      <c r="G5">
        <v>120805</v>
      </c>
      <c r="H5">
        <v>352755</v>
      </c>
      <c r="I5">
        <v>153982</v>
      </c>
      <c r="J5">
        <v>98959</v>
      </c>
      <c r="K5">
        <v>148101</v>
      </c>
      <c r="L5">
        <v>302083</v>
      </c>
      <c r="M5">
        <v>50672</v>
      </c>
    </row>
    <row r="6" spans="1:13" x14ac:dyDescent="0.25">
      <c r="A6" s="1">
        <v>44469</v>
      </c>
      <c r="B6">
        <v>62639</v>
      </c>
      <c r="C6">
        <v>51506</v>
      </c>
      <c r="D6">
        <v>6580</v>
      </c>
      <c r="E6">
        <v>134836</v>
      </c>
      <c r="F6">
        <v>39440</v>
      </c>
      <c r="G6">
        <v>127877</v>
      </c>
      <c r="H6">
        <v>351002</v>
      </c>
      <c r="I6">
        <v>125481</v>
      </c>
      <c r="J6">
        <v>109106</v>
      </c>
      <c r="K6">
        <v>162431</v>
      </c>
      <c r="L6">
        <v>287912</v>
      </c>
      <c r="M6">
        <v>63090</v>
      </c>
    </row>
    <row r="7" spans="1:13" x14ac:dyDescent="0.25">
      <c r="A7" s="1">
        <v>44104</v>
      </c>
      <c r="B7">
        <v>90943</v>
      </c>
      <c r="C7">
        <v>37445</v>
      </c>
      <c r="D7">
        <v>4061</v>
      </c>
      <c r="E7">
        <v>143713</v>
      </c>
      <c r="F7">
        <v>36766</v>
      </c>
      <c r="G7">
        <v>100887</v>
      </c>
      <c r="H7">
        <v>323888</v>
      </c>
      <c r="I7">
        <v>105392</v>
      </c>
      <c r="J7">
        <v>98667</v>
      </c>
      <c r="K7">
        <v>153157</v>
      </c>
      <c r="L7">
        <v>258549</v>
      </c>
      <c r="M7">
        <v>65339</v>
      </c>
    </row>
    <row r="8" spans="1:13" x14ac:dyDescent="0.25">
      <c r="A8" s="1">
        <v>43738</v>
      </c>
      <c r="B8">
        <v>100557</v>
      </c>
      <c r="C8">
        <v>45804</v>
      </c>
      <c r="D8">
        <v>4106</v>
      </c>
      <c r="E8">
        <v>162819</v>
      </c>
      <c r="F8">
        <v>37378</v>
      </c>
      <c r="G8">
        <v>105341</v>
      </c>
      <c r="H8">
        <v>338516</v>
      </c>
      <c r="I8">
        <v>105718</v>
      </c>
      <c r="J8">
        <v>91807</v>
      </c>
      <c r="K8">
        <v>142310</v>
      </c>
      <c r="L8">
        <v>248028</v>
      </c>
      <c r="M8">
        <v>90488</v>
      </c>
    </row>
    <row r="9" spans="1:13" x14ac:dyDescent="0.25">
      <c r="A9" s="1">
        <v>43373</v>
      </c>
      <c r="B9">
        <v>66301</v>
      </c>
      <c r="C9">
        <v>48995</v>
      </c>
      <c r="D9">
        <v>3956</v>
      </c>
      <c r="E9">
        <v>131339</v>
      </c>
      <c r="F9">
        <v>41304</v>
      </c>
      <c r="G9">
        <v>170799</v>
      </c>
      <c r="H9">
        <v>365725</v>
      </c>
      <c r="I9">
        <v>115929</v>
      </c>
      <c r="J9">
        <v>93735</v>
      </c>
      <c r="K9">
        <v>142649</v>
      </c>
      <c r="L9">
        <v>258578</v>
      </c>
      <c r="M9">
        <v>107147</v>
      </c>
    </row>
    <row r="10" spans="1:13" x14ac:dyDescent="0.25">
      <c r="A10" s="1">
        <v>43008</v>
      </c>
      <c r="B10">
        <v>74181</v>
      </c>
      <c r="C10">
        <v>35673</v>
      </c>
      <c r="D10">
        <v>4855</v>
      </c>
      <c r="E10">
        <v>128645</v>
      </c>
      <c r="F10">
        <v>33783</v>
      </c>
      <c r="G10">
        <v>194714</v>
      </c>
      <c r="H10">
        <v>375319</v>
      </c>
      <c r="I10">
        <v>100814</v>
      </c>
      <c r="J10">
        <v>97207</v>
      </c>
      <c r="K10">
        <v>140458</v>
      </c>
      <c r="L10">
        <v>241272</v>
      </c>
      <c r="M10">
        <v>134047</v>
      </c>
    </row>
    <row r="11" spans="1:13" x14ac:dyDescent="0.25">
      <c r="A11" s="1">
        <v>42643</v>
      </c>
      <c r="B11">
        <v>67155</v>
      </c>
      <c r="C11">
        <v>29299</v>
      </c>
      <c r="D11">
        <v>2132</v>
      </c>
      <c r="E11">
        <v>106869</v>
      </c>
      <c r="F11">
        <v>27010</v>
      </c>
      <c r="G11">
        <v>170430</v>
      </c>
      <c r="H11">
        <v>321686</v>
      </c>
      <c r="I11">
        <v>79006</v>
      </c>
      <c r="J11">
        <v>75427</v>
      </c>
      <c r="K11">
        <v>114431</v>
      </c>
      <c r="L11">
        <v>193437</v>
      </c>
      <c r="M11">
        <v>128249</v>
      </c>
    </row>
    <row r="12" spans="1:13" x14ac:dyDescent="0.25">
      <c r="A12" s="1">
        <v>42277</v>
      </c>
      <c r="B12">
        <v>41601</v>
      </c>
      <c r="C12">
        <v>30343</v>
      </c>
      <c r="D12">
        <v>2349</v>
      </c>
      <c r="E12">
        <v>89378</v>
      </c>
      <c r="F12">
        <v>22471</v>
      </c>
      <c r="G12">
        <v>164065</v>
      </c>
      <c r="H12">
        <v>290345</v>
      </c>
      <c r="I12">
        <v>80610</v>
      </c>
      <c r="J12">
        <v>53329</v>
      </c>
      <c r="K12">
        <v>90380</v>
      </c>
      <c r="L12">
        <v>170990</v>
      </c>
      <c r="M12">
        <v>119355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E97B4-7002-4B54-AA16-2211CA26EC21}">
  <sheetPr codeName="Sheet6"/>
  <dimension ref="A1:L12"/>
  <sheetViews>
    <sheetView workbookViewId="0">
      <selection sqref="A1:N12"/>
    </sheetView>
  </sheetViews>
  <sheetFormatPr defaultRowHeight="15" x14ac:dyDescent="0.25"/>
  <cols>
    <col min="1" max="1" width="13.140625" bestFit="1" customWidth="1"/>
    <col min="2" max="2" width="11.140625" bestFit="1" customWidth="1"/>
    <col min="3" max="3" width="8.28515625" bestFit="1" customWidth="1"/>
    <col min="4" max="4" width="14.28515625" bestFit="1" customWidth="1"/>
    <col min="5" max="5" width="14.140625" bestFit="1" customWidth="1"/>
    <col min="6" max="6" width="15.5703125" bestFit="1" customWidth="1"/>
    <col min="7" max="7" width="20" bestFit="1" customWidth="1"/>
    <col min="8" max="8" width="16.7109375" bestFit="1" customWidth="1"/>
    <col min="9" max="9" width="15.7109375" bestFit="1" customWidth="1"/>
    <col min="10" max="10" width="14.140625" bestFit="1" customWidth="1"/>
    <col min="11" max="11" width="11.85546875" bestFit="1" customWidth="1"/>
    <col min="12" max="12" width="14.42578125" bestFit="1" customWidth="1"/>
  </cols>
  <sheetData>
    <row r="1" spans="1:12" x14ac:dyDescent="0.25">
      <c r="A1" t="s">
        <v>19</v>
      </c>
      <c r="B1" t="s">
        <v>4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27</v>
      </c>
      <c r="K1" t="s">
        <v>28</v>
      </c>
      <c r="L1" t="s">
        <v>278</v>
      </c>
    </row>
    <row r="2" spans="1:12" x14ac:dyDescent="0.25">
      <c r="A2" s="1">
        <v>45930</v>
      </c>
      <c r="B2">
        <v>416161</v>
      </c>
      <c r="C2">
        <v>220960</v>
      </c>
      <c r="D2">
        <v>195201</v>
      </c>
      <c r="E2">
        <v>34550</v>
      </c>
      <c r="F2">
        <v>27601</v>
      </c>
      <c r="G2">
        <v>133050</v>
      </c>
      <c r="H2">
        <v>132729</v>
      </c>
      <c r="I2">
        <v>20719</v>
      </c>
      <c r="J2">
        <v>112010</v>
      </c>
      <c r="K2">
        <v>7.49</v>
      </c>
      <c r="L2">
        <v>7.46</v>
      </c>
    </row>
    <row r="3" spans="1:12" x14ac:dyDescent="0.25">
      <c r="A3" s="1">
        <v>45565</v>
      </c>
      <c r="B3">
        <v>391035</v>
      </c>
      <c r="C3">
        <v>210352</v>
      </c>
      <c r="D3">
        <v>180683</v>
      </c>
      <c r="E3">
        <v>31370</v>
      </c>
      <c r="F3">
        <v>26097</v>
      </c>
      <c r="G3">
        <v>123216</v>
      </c>
      <c r="H3">
        <v>123485</v>
      </c>
      <c r="I3">
        <v>29749</v>
      </c>
      <c r="J3">
        <v>93736</v>
      </c>
      <c r="K3">
        <v>6.11</v>
      </c>
      <c r="L3">
        <v>6.08</v>
      </c>
    </row>
    <row r="4" spans="1:12" x14ac:dyDescent="0.25">
      <c r="A4" s="1">
        <v>45199</v>
      </c>
      <c r="B4">
        <v>383285</v>
      </c>
      <c r="C4">
        <v>214137</v>
      </c>
      <c r="D4">
        <v>169148</v>
      </c>
      <c r="E4">
        <v>29915</v>
      </c>
      <c r="F4">
        <v>24932</v>
      </c>
      <c r="G4">
        <v>114301</v>
      </c>
      <c r="H4">
        <v>113736</v>
      </c>
      <c r="I4">
        <v>16741</v>
      </c>
      <c r="J4">
        <v>96995</v>
      </c>
      <c r="K4">
        <v>6.16</v>
      </c>
      <c r="L4">
        <v>6.13</v>
      </c>
    </row>
    <row r="5" spans="1:12" x14ac:dyDescent="0.25">
      <c r="A5" s="1">
        <v>44834</v>
      </c>
      <c r="B5">
        <v>394328</v>
      </c>
      <c r="C5">
        <v>223546</v>
      </c>
      <c r="D5">
        <v>170782</v>
      </c>
      <c r="E5">
        <v>26251</v>
      </c>
      <c r="F5">
        <v>25094</v>
      </c>
      <c r="G5">
        <v>119437</v>
      </c>
      <c r="H5">
        <v>119103</v>
      </c>
      <c r="I5">
        <v>19300</v>
      </c>
      <c r="J5">
        <v>99803</v>
      </c>
      <c r="K5">
        <v>6.15</v>
      </c>
      <c r="L5">
        <v>6.11</v>
      </c>
    </row>
    <row r="6" spans="1:12" x14ac:dyDescent="0.25">
      <c r="A6" s="1">
        <v>44469</v>
      </c>
      <c r="B6">
        <v>365817</v>
      </c>
      <c r="C6">
        <v>212981</v>
      </c>
      <c r="D6">
        <v>152836</v>
      </c>
      <c r="E6">
        <v>21914</v>
      </c>
      <c r="F6">
        <v>21973</v>
      </c>
      <c r="G6">
        <v>108949</v>
      </c>
      <c r="H6">
        <v>109207</v>
      </c>
      <c r="I6">
        <v>14527</v>
      </c>
      <c r="J6">
        <v>94680</v>
      </c>
      <c r="K6">
        <v>5.67</v>
      </c>
      <c r="L6">
        <v>5.61</v>
      </c>
    </row>
    <row r="7" spans="1:12" x14ac:dyDescent="0.25">
      <c r="A7" s="1">
        <v>44104</v>
      </c>
      <c r="B7">
        <v>274515</v>
      </c>
      <c r="C7">
        <v>169559</v>
      </c>
      <c r="D7">
        <v>104956</v>
      </c>
      <c r="E7">
        <v>18752</v>
      </c>
      <c r="F7">
        <v>19916</v>
      </c>
      <c r="G7">
        <v>66288</v>
      </c>
      <c r="H7">
        <v>67091</v>
      </c>
      <c r="I7">
        <v>9680</v>
      </c>
      <c r="J7">
        <v>57411</v>
      </c>
      <c r="K7">
        <v>3.31</v>
      </c>
      <c r="L7">
        <v>3.28</v>
      </c>
    </row>
    <row r="8" spans="1:12" x14ac:dyDescent="0.25">
      <c r="A8" s="1">
        <v>43738</v>
      </c>
      <c r="B8">
        <v>260174</v>
      </c>
      <c r="C8">
        <v>161782</v>
      </c>
      <c r="D8">
        <v>98392</v>
      </c>
      <c r="E8">
        <v>16217</v>
      </c>
      <c r="F8">
        <v>18245</v>
      </c>
      <c r="G8">
        <v>63930</v>
      </c>
      <c r="H8">
        <v>65737</v>
      </c>
      <c r="I8">
        <v>10481</v>
      </c>
      <c r="J8">
        <v>55256</v>
      </c>
      <c r="K8">
        <v>2.99</v>
      </c>
      <c r="L8">
        <v>2.97</v>
      </c>
    </row>
    <row r="9" spans="1:12" x14ac:dyDescent="0.25">
      <c r="A9" s="1">
        <v>43373</v>
      </c>
      <c r="B9">
        <v>265595</v>
      </c>
      <c r="C9">
        <v>163756</v>
      </c>
      <c r="D9">
        <v>101839</v>
      </c>
      <c r="E9">
        <v>14236</v>
      </c>
      <c r="F9">
        <v>16705</v>
      </c>
      <c r="G9">
        <v>70898</v>
      </c>
      <c r="H9">
        <v>72903</v>
      </c>
      <c r="I9">
        <v>13372</v>
      </c>
      <c r="J9">
        <v>59531</v>
      </c>
      <c r="K9">
        <v>3</v>
      </c>
      <c r="L9">
        <v>2.98</v>
      </c>
    </row>
    <row r="10" spans="1:12" x14ac:dyDescent="0.25">
      <c r="A10" s="1">
        <v>43008</v>
      </c>
      <c r="B10">
        <v>229234</v>
      </c>
      <c r="C10">
        <v>141048</v>
      </c>
      <c r="D10">
        <v>88186</v>
      </c>
      <c r="E10">
        <v>11581</v>
      </c>
      <c r="F10">
        <v>15261</v>
      </c>
      <c r="G10">
        <v>61344</v>
      </c>
      <c r="H10">
        <v>64089</v>
      </c>
      <c r="I10">
        <v>15738</v>
      </c>
      <c r="J10">
        <v>48351</v>
      </c>
      <c r="K10">
        <v>2.3174999999999999</v>
      </c>
      <c r="L10">
        <v>2.3025000000000002</v>
      </c>
    </row>
    <row r="11" spans="1:12" x14ac:dyDescent="0.25">
      <c r="A11" s="1">
        <v>42643</v>
      </c>
      <c r="B11">
        <v>215639</v>
      </c>
      <c r="C11">
        <v>131376</v>
      </c>
      <c r="D11">
        <v>84263</v>
      </c>
      <c r="E11">
        <v>10045</v>
      </c>
      <c r="F11">
        <v>14194</v>
      </c>
      <c r="G11">
        <v>60024</v>
      </c>
      <c r="H11">
        <v>61372</v>
      </c>
      <c r="I11">
        <v>15685</v>
      </c>
      <c r="J11">
        <v>45687</v>
      </c>
      <c r="K11">
        <v>2.0874999999999999</v>
      </c>
      <c r="L11">
        <v>2.0775000000000001</v>
      </c>
    </row>
    <row r="12" spans="1:12" x14ac:dyDescent="0.25">
      <c r="A12" s="1">
        <v>42277</v>
      </c>
      <c r="B12">
        <v>233715</v>
      </c>
      <c r="C12">
        <v>140089</v>
      </c>
      <c r="D12">
        <v>93626</v>
      </c>
      <c r="E12">
        <v>8067</v>
      </c>
      <c r="F12">
        <v>14329</v>
      </c>
      <c r="G12">
        <v>71230</v>
      </c>
      <c r="H12">
        <v>72515</v>
      </c>
      <c r="I12">
        <v>19121</v>
      </c>
      <c r="J12">
        <v>53394</v>
      </c>
      <c r="K12">
        <v>2.3199999999999998</v>
      </c>
      <c r="L12">
        <v>2.3050000000000002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8DF32-56E0-4E9F-A0AF-33F3F8763BC8}">
  <sheetPr codeName="Sheet7">
    <tabColor theme="4" tint="-0.499984740745262"/>
    <pageSetUpPr fitToPage="1"/>
  </sheetPr>
  <dimension ref="A1:Q75"/>
  <sheetViews>
    <sheetView topLeftCell="A50" zoomScale="86" zoomScaleNormal="86" workbookViewId="0">
      <selection activeCell="AG31" sqref="AG31"/>
    </sheetView>
  </sheetViews>
  <sheetFormatPr defaultRowHeight="15" x14ac:dyDescent="0.25"/>
  <cols>
    <col min="1" max="1" width="21.85546875" customWidth="1"/>
    <col min="2" max="2" width="9.7109375" bestFit="1" customWidth="1"/>
    <col min="3" max="3" width="9.7109375" customWidth="1"/>
    <col min="4" max="8" width="9.7109375" bestFit="1" customWidth="1"/>
    <col min="9" max="12" width="9.42578125" bestFit="1" customWidth="1"/>
    <col min="13" max="13" width="15" customWidth="1"/>
    <col min="14" max="14" width="21.5703125" customWidth="1"/>
  </cols>
  <sheetData>
    <row r="1" spans="1:14" ht="18.75" x14ac:dyDescent="0.3">
      <c r="A1" s="8" t="s">
        <v>0</v>
      </c>
    </row>
    <row r="2" spans="1:14" ht="18.75" x14ac:dyDescent="0.3">
      <c r="A2" s="8" t="s">
        <v>1</v>
      </c>
      <c r="B2" s="7"/>
    </row>
    <row r="3" spans="1:14" ht="18.75" x14ac:dyDescent="0.3">
      <c r="A3" s="8" t="s">
        <v>2</v>
      </c>
      <c r="B3" s="7"/>
    </row>
    <row r="4" spans="1:14" x14ac:dyDescent="0.25">
      <c r="A4" s="5" t="s">
        <v>3</v>
      </c>
      <c r="B4" s="5">
        <v>2015</v>
      </c>
      <c r="C4" s="5">
        <v>2016</v>
      </c>
      <c r="D4" s="5">
        <v>2017</v>
      </c>
      <c r="E4" s="5">
        <v>2018</v>
      </c>
      <c r="F4" s="5">
        <v>2019</v>
      </c>
      <c r="G4" s="5">
        <v>2020</v>
      </c>
      <c r="H4" s="5">
        <v>2021</v>
      </c>
      <c r="I4" s="5">
        <v>2022</v>
      </c>
      <c r="J4" s="5">
        <v>2023</v>
      </c>
      <c r="K4" s="5">
        <v>2024</v>
      </c>
      <c r="L4" s="5">
        <v>2025</v>
      </c>
      <c r="N4" s="56" t="s">
        <v>371</v>
      </c>
    </row>
    <row r="5" spans="1:14" x14ac:dyDescent="0.25">
      <c r="A5" s="4" t="s">
        <v>4</v>
      </c>
      <c r="B5" s="2" cm="1">
        <f t="array" ref="B5">_xlfn.XLOOKUP(B$4,YEAR(INDEX(IS_Data[],0,1)),INDEX(IS_Data[],0,2))/1000</f>
        <v>233.715</v>
      </c>
      <c r="C5" s="2" cm="1">
        <f t="array" ref="C5">_xlfn.XLOOKUP(C$4,YEAR(INDEX(IS_Data[],0,1)),INDEX(IS_Data[],0,2))/1000</f>
        <v>215.63900000000001</v>
      </c>
      <c r="D5" s="2" cm="1">
        <f t="array" ref="D5">_xlfn.XLOOKUP(D$4,YEAR(INDEX(IS_Data[],0,1)),INDEX(IS_Data[],0,2))/1000</f>
        <v>229.23400000000001</v>
      </c>
      <c r="E5" s="2" cm="1">
        <f t="array" ref="E5">_xlfn.XLOOKUP(E$4,YEAR(INDEX(IS_Data[],0,1)),INDEX(IS_Data[],0,2))/1000</f>
        <v>265.59500000000003</v>
      </c>
      <c r="F5" s="2" cm="1">
        <f t="array" ref="F5">_xlfn.XLOOKUP(F$4,YEAR(INDEX(IS_Data[],0,1)),INDEX(IS_Data[],0,2))/1000</f>
        <v>260.17399999999998</v>
      </c>
      <c r="G5" s="2" cm="1">
        <f t="array" ref="G5">_xlfn.XLOOKUP(G$4,YEAR(INDEX(IS_Data[],0,1)),INDEX(IS_Data[],0,2))/1000</f>
        <v>274.51499999999999</v>
      </c>
      <c r="H5" s="2" cm="1">
        <f t="array" ref="H5">_xlfn.XLOOKUP(H$4,YEAR(INDEX(IS_Data[],0,1)),INDEX(IS_Data[],0,2))/1000</f>
        <v>365.81700000000001</v>
      </c>
      <c r="I5" s="2" cm="1">
        <f t="array" ref="I5">_xlfn.XLOOKUP(I$4,YEAR(INDEX(IS_Data[],0,1)),INDEX(IS_Data[],0,2))/1000</f>
        <v>394.32799999999997</v>
      </c>
      <c r="J5" s="2" cm="1">
        <f t="array" ref="J5">_xlfn.XLOOKUP(J$4,YEAR(INDEX(IS_Data[],0,1)),INDEX(IS_Data[],0,2))/1000</f>
        <v>383.28500000000003</v>
      </c>
      <c r="K5" s="2" cm="1">
        <f t="array" ref="K5">_xlfn.XLOOKUP(K$4,YEAR(INDEX(IS_Data[],0,1)),INDEX(IS_Data[],0,2))/1000</f>
        <v>391.03500000000003</v>
      </c>
      <c r="L5" s="2" cm="1">
        <f t="array" ref="L5">_xlfn.XLOOKUP(L$4,YEAR(INDEX(IS_Data[],0,1)),INDEX(IS_Data[],0,2))/1000</f>
        <v>416.161</v>
      </c>
      <c r="N5" s="3">
        <f>(L5-K5)/K5</f>
        <v>6.4255117828327324E-2</v>
      </c>
    </row>
    <row r="6" spans="1:14" x14ac:dyDescent="0.25">
      <c r="A6" t="s">
        <v>5</v>
      </c>
      <c r="B6" s="2" cm="1">
        <f t="array" ref="B6">_xlfn.XLOOKUP(B$4,YEAR(INDEX(IS_Data[],0,1)),INDEX(IS_Data[],0,3))/1000</f>
        <v>140.089</v>
      </c>
      <c r="C6" s="2" cm="1">
        <f t="array" ref="C6">_xlfn.XLOOKUP(C$4,YEAR(INDEX(IS_Data[],0,1)),INDEX(IS_Data[],0,3))/1000</f>
        <v>131.376</v>
      </c>
      <c r="D6" s="2" cm="1">
        <f t="array" ref="D6">_xlfn.XLOOKUP(D$4,YEAR(INDEX(IS_Data[],0,1)),INDEX(IS_Data[],0,3))/1000</f>
        <v>141.048</v>
      </c>
      <c r="E6" s="2" cm="1">
        <f t="array" ref="E6">_xlfn.XLOOKUP(E$4,YEAR(INDEX(IS_Data[],0,1)),INDEX(IS_Data[],0,3))/1000</f>
        <v>163.756</v>
      </c>
      <c r="F6" s="2" cm="1">
        <f t="array" ref="F6">_xlfn.XLOOKUP(F$4,YEAR(INDEX(IS_Data[],0,1)),INDEX(IS_Data[],0,3))/1000</f>
        <v>161.78200000000001</v>
      </c>
      <c r="G6" s="2" cm="1">
        <f t="array" ref="G6">_xlfn.XLOOKUP(G$4,YEAR(INDEX(IS_Data[],0,1)),INDEX(IS_Data[],0,3))/1000</f>
        <v>169.559</v>
      </c>
      <c r="H6" s="2" cm="1">
        <f t="array" ref="H6">_xlfn.XLOOKUP(H$4,YEAR(INDEX(IS_Data[],0,1)),INDEX(IS_Data[],0,3))/1000</f>
        <v>212.98099999999999</v>
      </c>
      <c r="I6" s="2" cm="1">
        <f t="array" ref="I6">_xlfn.XLOOKUP(I$4,YEAR(INDEX(IS_Data[],0,1)),INDEX(IS_Data[],0,3))/1000</f>
        <v>223.54599999999999</v>
      </c>
      <c r="J6" s="2" cm="1">
        <f t="array" ref="J6">_xlfn.XLOOKUP(J$4,YEAR(INDEX(IS_Data[],0,1)),INDEX(IS_Data[],0,3))/1000</f>
        <v>214.137</v>
      </c>
      <c r="K6" s="2" cm="1">
        <f t="array" ref="K6">_xlfn.XLOOKUP(K$4,YEAR(INDEX(IS_Data[],0,1)),INDEX(IS_Data[],0,3))/1000</f>
        <v>210.352</v>
      </c>
      <c r="L6" s="2" cm="1">
        <f t="array" ref="L6">_xlfn.XLOOKUP(L$4,YEAR(INDEX(IS_Data[],0,1)),INDEX(IS_Data[],0,3))/1000</f>
        <v>220.96</v>
      </c>
    </row>
    <row r="7" spans="1:14" x14ac:dyDescent="0.25">
      <c r="A7" s="4" t="s">
        <v>6</v>
      </c>
      <c r="B7" s="2" cm="1">
        <f t="array" ref="B7">_xlfn.XLOOKUP(B$4,YEAR(INDEX(IS_Data[],0,1)),INDEX(IS_Data[],0,4))/1000</f>
        <v>93.626000000000005</v>
      </c>
      <c r="C7" s="2" cm="1">
        <f t="array" ref="C7">_xlfn.XLOOKUP(C$4,YEAR(INDEX(IS_Data[],0,1)),INDEX(IS_Data[],0,4))/1000</f>
        <v>84.263000000000005</v>
      </c>
      <c r="D7" s="2" cm="1">
        <f t="array" ref="D7">_xlfn.XLOOKUP(D$4,YEAR(INDEX(IS_Data[],0,1)),INDEX(IS_Data[],0,4))/1000</f>
        <v>88.186000000000007</v>
      </c>
      <c r="E7" s="2" cm="1">
        <f t="array" ref="E7">_xlfn.XLOOKUP(E$4,YEAR(INDEX(IS_Data[],0,1)),INDEX(IS_Data[],0,4))/1000</f>
        <v>101.839</v>
      </c>
      <c r="F7" s="2" cm="1">
        <f t="array" ref="F7">_xlfn.XLOOKUP(F$4,YEAR(INDEX(IS_Data[],0,1)),INDEX(IS_Data[],0,4))/1000</f>
        <v>98.391999999999996</v>
      </c>
      <c r="G7" s="2" cm="1">
        <f t="array" ref="G7">_xlfn.XLOOKUP(G$4,YEAR(INDEX(IS_Data[],0,1)),INDEX(IS_Data[],0,4))/1000</f>
        <v>104.956</v>
      </c>
      <c r="H7" s="2" cm="1">
        <f t="array" ref="H7">_xlfn.XLOOKUP(H$4,YEAR(INDEX(IS_Data[],0,1)),INDEX(IS_Data[],0,4))/1000</f>
        <v>152.83600000000001</v>
      </c>
      <c r="I7" s="2" cm="1">
        <f t="array" ref="I7">_xlfn.XLOOKUP(I$4,YEAR(INDEX(IS_Data[],0,1)),INDEX(IS_Data[],0,4))/1000</f>
        <v>170.78200000000001</v>
      </c>
      <c r="J7" s="2" cm="1">
        <f t="array" ref="J7">_xlfn.XLOOKUP(J$4,YEAR(INDEX(IS_Data[],0,1)),INDEX(IS_Data[],0,4))/1000</f>
        <v>169.148</v>
      </c>
      <c r="K7" s="2" cm="1">
        <f t="array" ref="K7">_xlfn.XLOOKUP(K$4,YEAR(INDEX(IS_Data[],0,1)),INDEX(IS_Data[],0,4))/1000</f>
        <v>180.68299999999999</v>
      </c>
      <c r="L7" s="2" cm="1">
        <f t="array" ref="L7">_xlfn.XLOOKUP(L$4,YEAR(INDEX(IS_Data[],0,1)),INDEX(IS_Data[],0,4))/1000</f>
        <v>195.20099999999999</v>
      </c>
    </row>
    <row r="8" spans="1:14" x14ac:dyDescent="0.25">
      <c r="A8" s="6" t="s">
        <v>7</v>
      </c>
      <c r="B8" s="3">
        <f>B7/B5</f>
        <v>0.40059902017414373</v>
      </c>
      <c r="C8" s="3">
        <f t="shared" ref="C8:L8" si="0">C7/C5</f>
        <v>0.39075955648097049</v>
      </c>
      <c r="D8" s="3">
        <f t="shared" si="0"/>
        <v>0.3846986049189911</v>
      </c>
      <c r="E8" s="3">
        <f t="shared" si="0"/>
        <v>0.38343718820007905</v>
      </c>
      <c r="F8" s="3">
        <f t="shared" si="0"/>
        <v>0.37817768109034722</v>
      </c>
      <c r="G8" s="3">
        <f t="shared" si="0"/>
        <v>0.38233247727810871</v>
      </c>
      <c r="H8" s="3">
        <f t="shared" si="0"/>
        <v>0.41779359625167778</v>
      </c>
      <c r="I8" s="3">
        <f t="shared" si="0"/>
        <v>0.43309630561360091</v>
      </c>
      <c r="J8" s="3">
        <f t="shared" si="0"/>
        <v>0.44131129577207556</v>
      </c>
      <c r="K8" s="3">
        <f t="shared" si="0"/>
        <v>0.46206349815233927</v>
      </c>
      <c r="L8" s="3">
        <f t="shared" si="0"/>
        <v>0.46905164107160446</v>
      </c>
      <c r="N8" s="58">
        <f>(L8-K8)</f>
        <v>6.9881429192651945E-3</v>
      </c>
    </row>
    <row r="9" spans="1:14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4" x14ac:dyDescent="0.25">
      <c r="A10" t="s">
        <v>8</v>
      </c>
      <c r="B10" s="2" cm="1">
        <f t="array" ref="B10">_xlfn.XLOOKUP(B$4,YEAR(INDEX(IS_Data[],0,1)),INDEX(IS_Data[],0,5))/1000</f>
        <v>8.0670000000000002</v>
      </c>
      <c r="C10" s="2" cm="1">
        <f t="array" ref="C10">_xlfn.XLOOKUP(C$4,YEAR(INDEX(IS_Data[],0,1)),INDEX(IS_Data[],0,5))/1000</f>
        <v>10.045</v>
      </c>
      <c r="D10" s="2" cm="1">
        <f t="array" ref="D10">_xlfn.XLOOKUP(D$4,YEAR(INDEX(IS_Data[],0,1)),INDEX(IS_Data[],0,5))/1000</f>
        <v>11.581</v>
      </c>
      <c r="E10" s="2" cm="1">
        <f t="array" ref="E10">_xlfn.XLOOKUP(E$4,YEAR(INDEX(IS_Data[],0,1)),INDEX(IS_Data[],0,5))/1000</f>
        <v>14.236000000000001</v>
      </c>
      <c r="F10" s="2" cm="1">
        <f t="array" ref="F10">_xlfn.XLOOKUP(F$4,YEAR(INDEX(IS_Data[],0,1)),INDEX(IS_Data[],0,5))/1000</f>
        <v>16.216999999999999</v>
      </c>
      <c r="G10" s="2" cm="1">
        <f t="array" ref="G10">_xlfn.XLOOKUP(G$4,YEAR(INDEX(IS_Data[],0,1)),INDEX(IS_Data[],0,5))/1000</f>
        <v>18.751999999999999</v>
      </c>
      <c r="H10" s="2" cm="1">
        <f t="array" ref="H10">_xlfn.XLOOKUP(H$4,YEAR(INDEX(IS_Data[],0,1)),INDEX(IS_Data[],0,5))/1000</f>
        <v>21.914000000000001</v>
      </c>
      <c r="I10" s="2" cm="1">
        <f t="array" ref="I10">_xlfn.XLOOKUP(I$4,YEAR(INDEX(IS_Data[],0,1)),INDEX(IS_Data[],0,5))/1000</f>
        <v>26.251000000000001</v>
      </c>
      <c r="J10" s="2" cm="1">
        <f t="array" ref="J10">_xlfn.XLOOKUP(J$4,YEAR(INDEX(IS_Data[],0,1)),INDEX(IS_Data[],0,5))/1000</f>
        <v>29.914999999999999</v>
      </c>
      <c r="K10" s="2" cm="1">
        <f t="array" ref="K10">_xlfn.XLOOKUP(K$4,YEAR(INDEX(IS_Data[],0,1)),INDEX(IS_Data[],0,5))/1000</f>
        <v>31.37</v>
      </c>
      <c r="L10" s="2" cm="1">
        <f t="array" ref="L10">_xlfn.XLOOKUP(L$4,YEAR(INDEX(IS_Data[],0,1)),INDEX(IS_Data[],0,5))/1000</f>
        <v>34.549999999999997</v>
      </c>
      <c r="N10" s="3">
        <f>L10/L5</f>
        <v>8.3020753987038662E-2</v>
      </c>
    </row>
    <row r="11" spans="1:14" x14ac:dyDescent="0.25">
      <c r="A11" t="s">
        <v>9</v>
      </c>
      <c r="B11" s="2" cm="1">
        <f t="array" ref="B11">_xlfn.XLOOKUP(B$4,YEAR(INDEX(IS_Data[],0,1)),INDEX(IS_Data[],0,6))/1000</f>
        <v>14.329000000000001</v>
      </c>
      <c r="C11" s="2" cm="1">
        <f t="array" ref="C11">_xlfn.XLOOKUP(C$4,YEAR(INDEX(IS_Data[],0,1)),INDEX(IS_Data[],0,6))/1000</f>
        <v>14.194000000000001</v>
      </c>
      <c r="D11" s="2" cm="1">
        <f t="array" ref="D11">_xlfn.XLOOKUP(D$4,YEAR(INDEX(IS_Data[],0,1)),INDEX(IS_Data[],0,6))/1000</f>
        <v>15.260999999999999</v>
      </c>
      <c r="E11" s="2" cm="1">
        <f t="array" ref="E11">_xlfn.XLOOKUP(E$4,YEAR(INDEX(IS_Data[],0,1)),INDEX(IS_Data[],0,6))/1000</f>
        <v>16.704999999999998</v>
      </c>
      <c r="F11" s="2" cm="1">
        <f t="array" ref="F11">_xlfn.XLOOKUP(F$4,YEAR(INDEX(IS_Data[],0,1)),INDEX(IS_Data[],0,6))/1000</f>
        <v>18.245000000000001</v>
      </c>
      <c r="G11" s="2" cm="1">
        <f t="array" ref="G11">_xlfn.XLOOKUP(G$4,YEAR(INDEX(IS_Data[],0,1)),INDEX(IS_Data[],0,6))/1000</f>
        <v>19.916</v>
      </c>
      <c r="H11" s="2" cm="1">
        <f t="array" ref="H11">_xlfn.XLOOKUP(H$4,YEAR(INDEX(IS_Data[],0,1)),INDEX(IS_Data[],0,6))/1000</f>
        <v>21.972999999999999</v>
      </c>
      <c r="I11" s="2" cm="1">
        <f t="array" ref="I11">_xlfn.XLOOKUP(I$4,YEAR(INDEX(IS_Data[],0,1)),INDEX(IS_Data[],0,6))/1000</f>
        <v>25.094000000000001</v>
      </c>
      <c r="J11" s="2" cm="1">
        <f t="array" ref="J11">_xlfn.XLOOKUP(J$4,YEAR(INDEX(IS_Data[],0,1)),INDEX(IS_Data[],0,6))/1000</f>
        <v>24.931999999999999</v>
      </c>
      <c r="K11" s="2" cm="1">
        <f t="array" ref="K11">_xlfn.XLOOKUP(K$4,YEAR(INDEX(IS_Data[],0,1)),INDEX(IS_Data[],0,6))/1000</f>
        <v>26.097000000000001</v>
      </c>
      <c r="L11" s="2" cm="1">
        <f t="array" ref="L11">_xlfn.XLOOKUP(L$4,YEAR(INDEX(IS_Data[],0,1)),INDEX(IS_Data[],0,6))/1000</f>
        <v>27.600999999999999</v>
      </c>
    </row>
    <row r="12" spans="1:14" x14ac:dyDescent="0.25">
      <c r="A12" t="s">
        <v>10</v>
      </c>
      <c r="B12" s="2">
        <f>B10+B11</f>
        <v>22.396000000000001</v>
      </c>
      <c r="C12" s="2">
        <f t="shared" ref="C12:L12" si="1">C10+C11</f>
        <v>24.239000000000001</v>
      </c>
      <c r="D12" s="2">
        <f t="shared" si="1"/>
        <v>26.841999999999999</v>
      </c>
      <c r="E12" s="2">
        <f t="shared" si="1"/>
        <v>30.940999999999999</v>
      </c>
      <c r="F12" s="2">
        <f t="shared" si="1"/>
        <v>34.462000000000003</v>
      </c>
      <c r="G12" s="2">
        <f t="shared" si="1"/>
        <v>38.667999999999999</v>
      </c>
      <c r="H12" s="2">
        <f t="shared" si="1"/>
        <v>43.887</v>
      </c>
      <c r="I12" s="2">
        <f t="shared" si="1"/>
        <v>51.344999999999999</v>
      </c>
      <c r="J12" s="2">
        <f t="shared" si="1"/>
        <v>54.846999999999994</v>
      </c>
      <c r="K12" s="2">
        <f t="shared" si="1"/>
        <v>57.466999999999999</v>
      </c>
      <c r="L12" s="2">
        <f t="shared" si="1"/>
        <v>62.150999999999996</v>
      </c>
    </row>
    <row r="13" spans="1:14" x14ac:dyDescent="0.25">
      <c r="A13" s="4" t="s">
        <v>11</v>
      </c>
      <c r="B13" s="2" cm="1">
        <f t="array" ref="B13">_xlfn.XLOOKUP(B$4,YEAR(INDEX(IS_Data[],0,1)),INDEX(IS_Data[],0,7))/1000</f>
        <v>71.23</v>
      </c>
      <c r="C13" s="2" cm="1">
        <f t="array" ref="C13">_xlfn.XLOOKUP(C$4,YEAR(INDEX(IS_Data[],0,1)),INDEX(IS_Data[],0,7))/1000</f>
        <v>60.024000000000001</v>
      </c>
      <c r="D13" s="2" cm="1">
        <f t="array" ref="D13">_xlfn.XLOOKUP(D$4,YEAR(INDEX(IS_Data[],0,1)),INDEX(IS_Data[],0,7))/1000</f>
        <v>61.344000000000001</v>
      </c>
      <c r="E13" s="2" cm="1">
        <f t="array" ref="E13">_xlfn.XLOOKUP(E$4,YEAR(INDEX(IS_Data[],0,1)),INDEX(IS_Data[],0,7))/1000</f>
        <v>70.897999999999996</v>
      </c>
      <c r="F13" s="2" cm="1">
        <f t="array" ref="F13">_xlfn.XLOOKUP(F$4,YEAR(INDEX(IS_Data[],0,1)),INDEX(IS_Data[],0,7))/1000</f>
        <v>63.93</v>
      </c>
      <c r="G13" s="2" cm="1">
        <f t="array" ref="G13">_xlfn.XLOOKUP(G$4,YEAR(INDEX(IS_Data[],0,1)),INDEX(IS_Data[],0,7))/1000</f>
        <v>66.287999999999997</v>
      </c>
      <c r="H13" s="2" cm="1">
        <f t="array" ref="H13">_xlfn.XLOOKUP(H$4,YEAR(INDEX(IS_Data[],0,1)),INDEX(IS_Data[],0,7))/1000</f>
        <v>108.949</v>
      </c>
      <c r="I13" s="2" cm="1">
        <f t="array" ref="I13">_xlfn.XLOOKUP(I$4,YEAR(INDEX(IS_Data[],0,1)),INDEX(IS_Data[],0,7))/1000</f>
        <v>119.437</v>
      </c>
      <c r="J13" s="2" cm="1">
        <f t="array" ref="J13">_xlfn.XLOOKUP(J$4,YEAR(INDEX(IS_Data[],0,1)),INDEX(IS_Data[],0,7))/1000</f>
        <v>114.301</v>
      </c>
      <c r="K13" s="2" cm="1">
        <f t="array" ref="K13">_xlfn.XLOOKUP(K$4,YEAR(INDEX(IS_Data[],0,1)),INDEX(IS_Data[],0,7))/1000</f>
        <v>123.21599999999999</v>
      </c>
      <c r="L13" s="2" cm="1">
        <f t="array" ref="L13">_xlfn.XLOOKUP(L$4,YEAR(INDEX(IS_Data[],0,1)),INDEX(IS_Data[],0,7))/1000</f>
        <v>133.05000000000001</v>
      </c>
    </row>
    <row r="14" spans="1:14" x14ac:dyDescent="0.25">
      <c r="A14" s="6" t="s">
        <v>12</v>
      </c>
      <c r="B14" s="3">
        <f>B13/B5</f>
        <v>0.30477290717326661</v>
      </c>
      <c r="C14" s="3">
        <f t="shared" ref="C14:L14" si="2">C13/C5</f>
        <v>0.27835410106706115</v>
      </c>
      <c r="D14" s="3">
        <f t="shared" si="2"/>
        <v>0.26760428208729942</v>
      </c>
      <c r="E14" s="3">
        <f t="shared" si="2"/>
        <v>0.26694026619477018</v>
      </c>
      <c r="F14" s="3">
        <f t="shared" si="2"/>
        <v>0.24572017188496931</v>
      </c>
      <c r="G14" s="3">
        <f t="shared" si="2"/>
        <v>0.24147314354406862</v>
      </c>
      <c r="H14" s="3">
        <f t="shared" si="2"/>
        <v>0.29782377527561593</v>
      </c>
      <c r="I14" s="3">
        <f t="shared" si="2"/>
        <v>0.302887443955286</v>
      </c>
      <c r="J14" s="3">
        <f t="shared" si="2"/>
        <v>0.29821412265024722</v>
      </c>
      <c r="K14" s="3">
        <f t="shared" si="2"/>
        <v>0.31510222870075566</v>
      </c>
      <c r="L14" s="3">
        <f t="shared" si="2"/>
        <v>0.31970799762591884</v>
      </c>
    </row>
    <row r="15" spans="1:14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4" x14ac:dyDescent="0.25">
      <c r="A16" t="s">
        <v>13</v>
      </c>
      <c r="B16" s="2" cm="1">
        <f t="array" ref="B16">_xlfn.XLOOKUP(B$4,YEAR(INDEX(IS_Data[],0,1)),INDEX(IS_Data[],0,8))/1000</f>
        <v>72.515000000000001</v>
      </c>
      <c r="C16" s="2" cm="1">
        <f t="array" ref="C16">_xlfn.XLOOKUP(C$4,YEAR(INDEX(IS_Data[],0,1)),INDEX(IS_Data[],0,8))/1000</f>
        <v>61.372</v>
      </c>
      <c r="D16" s="2" cm="1">
        <f t="array" ref="D16">_xlfn.XLOOKUP(D$4,YEAR(INDEX(IS_Data[],0,1)),INDEX(IS_Data[],0,8))/1000</f>
        <v>64.088999999999999</v>
      </c>
      <c r="E16" s="2" cm="1">
        <f t="array" ref="E16">_xlfn.XLOOKUP(E$4,YEAR(INDEX(IS_Data[],0,1)),INDEX(IS_Data[],0,8))/1000</f>
        <v>72.903000000000006</v>
      </c>
      <c r="F16" s="2" cm="1">
        <f t="array" ref="F16">_xlfn.XLOOKUP(F$4,YEAR(INDEX(IS_Data[],0,1)),INDEX(IS_Data[],0,8))/1000</f>
        <v>65.736999999999995</v>
      </c>
      <c r="G16" s="2" cm="1">
        <f t="array" ref="G16">_xlfn.XLOOKUP(G$4,YEAR(INDEX(IS_Data[],0,1)),INDEX(IS_Data[],0,8))/1000</f>
        <v>67.090999999999994</v>
      </c>
      <c r="H16" s="2" cm="1">
        <f t="array" ref="H16">_xlfn.XLOOKUP(H$4,YEAR(INDEX(IS_Data[],0,1)),INDEX(IS_Data[],0,8))/1000</f>
        <v>109.20699999999999</v>
      </c>
      <c r="I16" s="2" cm="1">
        <f t="array" ref="I16">_xlfn.XLOOKUP(I$4,YEAR(INDEX(IS_Data[],0,1)),INDEX(IS_Data[],0,8))/1000</f>
        <v>119.10299999999999</v>
      </c>
      <c r="J16" s="2" cm="1">
        <f t="array" ref="J16">_xlfn.XLOOKUP(J$4,YEAR(INDEX(IS_Data[],0,1)),INDEX(IS_Data[],0,8))/1000</f>
        <v>113.736</v>
      </c>
      <c r="K16" s="2" cm="1">
        <f t="array" ref="K16">_xlfn.XLOOKUP(K$4,YEAR(INDEX(IS_Data[],0,1)),INDEX(IS_Data[],0,8))/1000</f>
        <v>123.485</v>
      </c>
      <c r="L16" s="2" cm="1">
        <f t="array" ref="L16">_xlfn.XLOOKUP(L$4,YEAR(INDEX(IS_Data[],0,1)),INDEX(IS_Data[],0,8))/1000</f>
        <v>132.72900000000001</v>
      </c>
    </row>
    <row r="17" spans="1:17" x14ac:dyDescent="0.25">
      <c r="A17" t="s">
        <v>14</v>
      </c>
      <c r="B17" s="2" cm="1">
        <f t="array" ref="B17">_xlfn.XLOOKUP(B$4,YEAR(INDEX(IS_Data[],0,1)),INDEX(IS_Data[],0,9))/1000</f>
        <v>19.120999999999999</v>
      </c>
      <c r="C17" s="2" cm="1">
        <f t="array" ref="C17">_xlfn.XLOOKUP(C$4,YEAR(INDEX(IS_Data[],0,1)),INDEX(IS_Data[],0,9))/1000</f>
        <v>15.685</v>
      </c>
      <c r="D17" s="2" cm="1">
        <f t="array" ref="D17">_xlfn.XLOOKUP(D$4,YEAR(INDEX(IS_Data[],0,1)),INDEX(IS_Data[],0,9))/1000</f>
        <v>15.738</v>
      </c>
      <c r="E17" s="2" cm="1">
        <f t="array" ref="E17">_xlfn.XLOOKUP(E$4,YEAR(INDEX(IS_Data[],0,1)),INDEX(IS_Data[],0,9))/1000</f>
        <v>13.372</v>
      </c>
      <c r="F17" s="2" cm="1">
        <f t="array" ref="F17">_xlfn.XLOOKUP(F$4,YEAR(INDEX(IS_Data[],0,1)),INDEX(IS_Data[],0,9))/1000</f>
        <v>10.481</v>
      </c>
      <c r="G17" s="2" cm="1">
        <f t="array" ref="G17">_xlfn.XLOOKUP(G$4,YEAR(INDEX(IS_Data[],0,1)),INDEX(IS_Data[],0,9))/1000</f>
        <v>9.68</v>
      </c>
      <c r="H17" s="2" cm="1">
        <f t="array" ref="H17">_xlfn.XLOOKUP(H$4,YEAR(INDEX(IS_Data[],0,1)),INDEX(IS_Data[],0,9))/1000</f>
        <v>14.526999999999999</v>
      </c>
      <c r="I17" s="2" cm="1">
        <f t="array" ref="I17">_xlfn.XLOOKUP(I$4,YEAR(INDEX(IS_Data[],0,1)),INDEX(IS_Data[],0,9))/1000</f>
        <v>19.3</v>
      </c>
      <c r="J17" s="2" cm="1">
        <f t="array" ref="J17">_xlfn.XLOOKUP(J$4,YEAR(INDEX(IS_Data[],0,1)),INDEX(IS_Data[],0,9))/1000</f>
        <v>16.741</v>
      </c>
      <c r="K17" s="2" cm="1">
        <f t="array" ref="K17">_xlfn.XLOOKUP(K$4,YEAR(INDEX(IS_Data[],0,1)),INDEX(IS_Data[],0,9))/1000</f>
        <v>29.748999999999999</v>
      </c>
      <c r="L17" s="2" cm="1">
        <f t="array" ref="L17">_xlfn.XLOOKUP(L$4,YEAR(INDEX(IS_Data[],0,1)),INDEX(IS_Data[],0,9))/1000</f>
        <v>20.719000000000001</v>
      </c>
    </row>
    <row r="18" spans="1:17" x14ac:dyDescent="0.25">
      <c r="A18" s="4" t="s">
        <v>16</v>
      </c>
      <c r="B18" s="2" cm="1">
        <f t="array" ref="B18">_xlfn.XLOOKUP(B$4,YEAR(INDEX(IS_Data[],0,1)),INDEX(IS_Data[],0,10))/1000</f>
        <v>53.393999999999998</v>
      </c>
      <c r="C18" s="2" cm="1">
        <f t="array" ref="C18">_xlfn.XLOOKUP(C$4,YEAR(INDEX(IS_Data[],0,1)),INDEX(IS_Data[],0,10))/1000</f>
        <v>45.686999999999998</v>
      </c>
      <c r="D18" s="2" cm="1">
        <f t="array" ref="D18">_xlfn.XLOOKUP(D$4,YEAR(INDEX(IS_Data[],0,1)),INDEX(IS_Data[],0,10))/1000</f>
        <v>48.350999999999999</v>
      </c>
      <c r="E18" s="2" cm="1">
        <f t="array" ref="E18">_xlfn.XLOOKUP(E$4,YEAR(INDEX(IS_Data[],0,1)),INDEX(IS_Data[],0,10))/1000</f>
        <v>59.530999999999999</v>
      </c>
      <c r="F18" s="2" cm="1">
        <f t="array" ref="F18">_xlfn.XLOOKUP(F$4,YEAR(INDEX(IS_Data[],0,1)),INDEX(IS_Data[],0,10))/1000</f>
        <v>55.256</v>
      </c>
      <c r="G18" s="2" cm="1">
        <f t="array" ref="G18">_xlfn.XLOOKUP(G$4,YEAR(INDEX(IS_Data[],0,1)),INDEX(IS_Data[],0,10))/1000</f>
        <v>57.411000000000001</v>
      </c>
      <c r="H18" s="2" cm="1">
        <f t="array" ref="H18">_xlfn.XLOOKUP(H$4,YEAR(INDEX(IS_Data[],0,1)),INDEX(IS_Data[],0,10))/1000</f>
        <v>94.68</v>
      </c>
      <c r="I18" s="2" cm="1">
        <f t="array" ref="I18">_xlfn.XLOOKUP(I$4,YEAR(INDEX(IS_Data[],0,1)),INDEX(IS_Data[],0,10))/1000</f>
        <v>99.802999999999997</v>
      </c>
      <c r="J18" s="2" cm="1">
        <f t="array" ref="J18">_xlfn.XLOOKUP(J$4,YEAR(INDEX(IS_Data[],0,1)),INDEX(IS_Data[],0,10))/1000</f>
        <v>96.995000000000005</v>
      </c>
      <c r="K18" s="2" cm="1">
        <f t="array" ref="K18">_xlfn.XLOOKUP(K$4,YEAR(INDEX(IS_Data[],0,1)),INDEX(IS_Data[],0,10))/1000</f>
        <v>93.736000000000004</v>
      </c>
      <c r="L18" s="2" cm="1">
        <f t="array" ref="L18">_xlfn.XLOOKUP(L$4,YEAR(INDEX(IS_Data[],0,1)),INDEX(IS_Data[],0,10))/1000</f>
        <v>112.01</v>
      </c>
      <c r="N18" s="21">
        <f>(L18-K18)/K18</f>
        <v>0.19495177946573355</v>
      </c>
    </row>
    <row r="19" spans="1:17" x14ac:dyDescent="0.25">
      <c r="A19" s="6" t="s">
        <v>15</v>
      </c>
      <c r="B19" s="3">
        <f>B18/B5</f>
        <v>0.22845773698735639</v>
      </c>
      <c r="C19" s="3">
        <f t="shared" ref="C19:L19" si="3">C18/C5</f>
        <v>0.21186798306428797</v>
      </c>
      <c r="D19" s="3">
        <f t="shared" si="3"/>
        <v>0.21092420845075335</v>
      </c>
      <c r="E19" s="3">
        <f t="shared" si="3"/>
        <v>0.22414202074587244</v>
      </c>
      <c r="F19" s="3">
        <f t="shared" si="3"/>
        <v>0.21238094505984459</v>
      </c>
      <c r="G19" s="3">
        <f t="shared" si="3"/>
        <v>0.20913611278072239</v>
      </c>
      <c r="H19" s="3">
        <f t="shared" si="3"/>
        <v>0.25881793355694244</v>
      </c>
      <c r="I19" s="3">
        <f t="shared" si="3"/>
        <v>0.25309640705199732</v>
      </c>
      <c r="J19" s="3">
        <f t="shared" si="3"/>
        <v>0.25306234264320282</v>
      </c>
      <c r="K19" s="3">
        <f t="shared" si="3"/>
        <v>0.23971255769943867</v>
      </c>
      <c r="L19" s="3">
        <f t="shared" si="3"/>
        <v>0.26915064121818238</v>
      </c>
      <c r="N19" s="57">
        <f>(L19-K19)</f>
        <v>2.9438083518743718E-2</v>
      </c>
    </row>
    <row r="20" spans="1:17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7" x14ac:dyDescent="0.25">
      <c r="A21" t="s">
        <v>17</v>
      </c>
      <c r="B21" s="16" cm="1">
        <f t="array" ref="B21">_xlfn.XLOOKUP(B$4,YEAR(INDEX(IS_Data[],0,1)),INDEX(IS_Data[],0,11))</f>
        <v>2.3199999999999998</v>
      </c>
      <c r="C21" s="16" cm="1">
        <f t="array" ref="C21">_xlfn.XLOOKUP(C$4,YEAR(INDEX(IS_Data[],0,1)),INDEX(IS_Data[],0,11))</f>
        <v>2.0874999999999999</v>
      </c>
      <c r="D21" s="16" cm="1">
        <f t="array" ref="D21">_xlfn.XLOOKUP(D$4,YEAR(INDEX(IS_Data[],0,1)),INDEX(IS_Data[],0,11))</f>
        <v>2.3174999999999999</v>
      </c>
      <c r="E21" s="16" cm="1">
        <f t="array" ref="E21">_xlfn.XLOOKUP(E$4,YEAR(INDEX(IS_Data[],0,1)),INDEX(IS_Data[],0,11))</f>
        <v>3</v>
      </c>
      <c r="F21" s="16" cm="1">
        <f t="array" ref="F21">_xlfn.XLOOKUP(F$4,YEAR(INDEX(IS_Data[],0,1)),INDEX(IS_Data[],0,11))</f>
        <v>2.99</v>
      </c>
      <c r="G21" s="16" cm="1">
        <f t="array" ref="G21">_xlfn.XLOOKUP(G$4,YEAR(INDEX(IS_Data[],0,1)),INDEX(IS_Data[],0,11))</f>
        <v>3.31</v>
      </c>
      <c r="H21" s="16" cm="1">
        <f t="array" ref="H21">_xlfn.XLOOKUP(H$4,YEAR(INDEX(IS_Data[],0,1)),INDEX(IS_Data[],0,11))</f>
        <v>5.67</v>
      </c>
      <c r="I21" s="16" cm="1">
        <f t="array" ref="I21">_xlfn.XLOOKUP(I$4,YEAR(INDEX(IS_Data[],0,1)),INDEX(IS_Data[],0,11))</f>
        <v>6.15</v>
      </c>
      <c r="J21" s="16" cm="1">
        <f t="array" ref="J21">_xlfn.XLOOKUP(J$4,YEAR(INDEX(IS_Data[],0,1)),INDEX(IS_Data[],0,11))</f>
        <v>6.16</v>
      </c>
      <c r="K21" s="16" cm="1">
        <f t="array" ref="K21">_xlfn.XLOOKUP(K$4,YEAR(INDEX(IS_Data[],0,1)),INDEX(IS_Data[],0,11))</f>
        <v>6.11</v>
      </c>
      <c r="L21" s="16" cm="1">
        <f t="array" ref="L21">_xlfn.XLOOKUP(L$4,YEAR(INDEX(IS_Data[],0,1)),INDEX(IS_Data[],0,11))</f>
        <v>7.49</v>
      </c>
      <c r="N21" s="3">
        <f>(L21-K21)/K21</f>
        <v>0.22585924713584285</v>
      </c>
      <c r="P21" s="4" t="s">
        <v>383</v>
      </c>
      <c r="Q21">
        <f>CurrentStockPrice/L21</f>
        <v>28.037383177570092</v>
      </c>
    </row>
    <row r="22" spans="1:17" x14ac:dyDescent="0.25">
      <c r="A22" t="s">
        <v>18</v>
      </c>
      <c r="B22" s="16" cm="1">
        <f t="array" ref="B22">_xlfn.XLOOKUP(B$4,YEAR(INDEX(IS_Data[],0,1)),INDEX(IS_Data[],0,12))</f>
        <v>2.3050000000000002</v>
      </c>
      <c r="C22" s="16" cm="1">
        <f t="array" ref="C22">_xlfn.XLOOKUP(C$4,YEAR(INDEX(IS_Data[],0,1)),INDEX(IS_Data[],0,12))</f>
        <v>2.0775000000000001</v>
      </c>
      <c r="D22" s="16" cm="1">
        <f t="array" ref="D22">_xlfn.XLOOKUP(D$4,YEAR(INDEX(IS_Data[],0,1)),INDEX(IS_Data[],0,12))</f>
        <v>2.3025000000000002</v>
      </c>
      <c r="E22" s="16" cm="1">
        <f t="array" ref="E22">_xlfn.XLOOKUP(E$4,YEAR(INDEX(IS_Data[],0,1)),INDEX(IS_Data[],0,12))</f>
        <v>2.98</v>
      </c>
      <c r="F22" s="16" cm="1">
        <f t="array" ref="F22">_xlfn.XLOOKUP(F$4,YEAR(INDEX(IS_Data[],0,1)),INDEX(IS_Data[],0,12))</f>
        <v>2.97</v>
      </c>
      <c r="G22" s="16" cm="1">
        <f t="array" ref="G22">_xlfn.XLOOKUP(G$4,YEAR(INDEX(IS_Data[],0,1)),INDEX(IS_Data[],0,12))</f>
        <v>3.28</v>
      </c>
      <c r="H22" s="16" cm="1">
        <f t="array" ref="H22">_xlfn.XLOOKUP(H$4,YEAR(INDEX(IS_Data[],0,1)),INDEX(IS_Data[],0,12))</f>
        <v>5.61</v>
      </c>
      <c r="I22" s="16" cm="1">
        <f t="array" ref="I22">_xlfn.XLOOKUP(I$4,YEAR(INDEX(IS_Data[],0,1)),INDEX(IS_Data[],0,12))</f>
        <v>6.11</v>
      </c>
      <c r="J22" s="16" cm="1">
        <f t="array" ref="J22">_xlfn.XLOOKUP(J$4,YEAR(INDEX(IS_Data[],0,1)),INDEX(IS_Data[],0,12))</f>
        <v>6.13</v>
      </c>
      <c r="K22" s="16" cm="1">
        <f t="array" ref="K22">_xlfn.XLOOKUP(K$4,YEAR(INDEX(IS_Data[],0,1)),INDEX(IS_Data[],0,12))</f>
        <v>6.08</v>
      </c>
      <c r="L22" s="16" cm="1">
        <f t="array" ref="L22">_xlfn.XLOOKUP(L$4,YEAR(INDEX(IS_Data[],0,1)),INDEX(IS_Data[],0,12))</f>
        <v>7.46</v>
      </c>
    </row>
    <row r="25" spans="1:17" ht="18.75" x14ac:dyDescent="0.3">
      <c r="A25" s="8" t="s">
        <v>69</v>
      </c>
    </row>
    <row r="26" spans="1:17" ht="18.75" x14ac:dyDescent="0.3">
      <c r="A26" s="8" t="s">
        <v>1</v>
      </c>
    </row>
    <row r="28" spans="1:17" ht="15.75" x14ac:dyDescent="0.25">
      <c r="A28" s="9" t="s">
        <v>53</v>
      </c>
    </row>
    <row r="29" spans="1:17" x14ac:dyDescent="0.25">
      <c r="A29" t="s">
        <v>29</v>
      </c>
      <c r="B29" s="2" cm="1">
        <f t="array" ref="B29">_xlfn.XLOOKUP(B$4,YEAR(INDEX(BS_Data[],0,1)),INDEX(BS_Data[],0,2))/1000</f>
        <v>41.600999999999999</v>
      </c>
      <c r="C29" s="2" cm="1">
        <f t="array" ref="C29">_xlfn.XLOOKUP(C$4,YEAR(INDEX(BS_Data[],0,1)),INDEX(BS_Data[],0,2))/1000</f>
        <v>67.155000000000001</v>
      </c>
      <c r="D29" s="2" cm="1">
        <f t="array" ref="D29">_xlfn.XLOOKUP(D$4,YEAR(INDEX(BS_Data[],0,1)),INDEX(BS_Data[],0,2))/1000</f>
        <v>74.180999999999997</v>
      </c>
      <c r="E29" s="2" cm="1">
        <f t="array" ref="E29">_xlfn.XLOOKUP(E$4,YEAR(INDEX(BS_Data[],0,1)),INDEX(BS_Data[],0,2))/1000</f>
        <v>66.301000000000002</v>
      </c>
      <c r="F29" s="2" cm="1">
        <f t="array" ref="F29">_xlfn.XLOOKUP(F$4,YEAR(INDEX(BS_Data[],0,1)),INDEX(BS_Data[],0,2))/1000</f>
        <v>100.557</v>
      </c>
      <c r="G29" s="2" cm="1">
        <f t="array" ref="G29">_xlfn.XLOOKUP(G$4,YEAR(INDEX(BS_Data[],0,1)),INDEX(BS_Data[],0,2))/1000</f>
        <v>90.942999999999998</v>
      </c>
      <c r="H29" s="2" cm="1">
        <f t="array" ref="H29">_xlfn.XLOOKUP(H$4,YEAR(INDEX(BS_Data[],0,1)),INDEX(BS_Data[],0,2))/1000</f>
        <v>62.639000000000003</v>
      </c>
      <c r="I29" s="2" cm="1">
        <f t="array" ref="I29">_xlfn.XLOOKUP(I$4,YEAR(INDEX(BS_Data[],0,1)),INDEX(BS_Data[],0,2))/1000</f>
        <v>48.304000000000002</v>
      </c>
      <c r="J29" s="2" cm="1">
        <f t="array" ref="J29">_xlfn.XLOOKUP(J$4,YEAR(INDEX(BS_Data[],0,1)),INDEX(BS_Data[],0,2))/1000</f>
        <v>61.555</v>
      </c>
      <c r="K29" s="2" cm="1">
        <f t="array" ref="K29">_xlfn.XLOOKUP(K$4,YEAR(INDEX(BS_Data[],0,1)),INDEX(BS_Data[],0,2))/1000</f>
        <v>65.171000000000006</v>
      </c>
      <c r="L29" s="2" cm="1">
        <f t="array" ref="L29">_xlfn.XLOOKUP(L$4,YEAR(INDEX(BS_Data[],0,1)),INDEX(BS_Data[],0,2))/1000</f>
        <v>54.697000000000003</v>
      </c>
    </row>
    <row r="30" spans="1:17" x14ac:dyDescent="0.25">
      <c r="A30" t="s">
        <v>30</v>
      </c>
      <c r="B30" s="2" cm="1">
        <f t="array" ref="B30">_xlfn.XLOOKUP(B$4,YEAR(INDEX(BS_Data[],0,1)),INDEX(BS_Data[],0,3))/1000</f>
        <v>30.343</v>
      </c>
      <c r="C30" s="2" cm="1">
        <f t="array" ref="C30">_xlfn.XLOOKUP(C$4,YEAR(INDEX(BS_Data[],0,1)),INDEX(BS_Data[],0,3))/1000</f>
        <v>29.298999999999999</v>
      </c>
      <c r="D30" s="2" cm="1">
        <f t="array" ref="D30">_xlfn.XLOOKUP(D$4,YEAR(INDEX(BS_Data[],0,1)),INDEX(BS_Data[],0,3))/1000</f>
        <v>35.673000000000002</v>
      </c>
      <c r="E30" s="2" cm="1">
        <f t="array" ref="E30">_xlfn.XLOOKUP(E$4,YEAR(INDEX(BS_Data[],0,1)),INDEX(BS_Data[],0,3))/1000</f>
        <v>48.994999999999997</v>
      </c>
      <c r="F30" s="2" cm="1">
        <f t="array" ref="F30">_xlfn.XLOOKUP(F$4,YEAR(INDEX(BS_Data[],0,1)),INDEX(BS_Data[],0,3))/1000</f>
        <v>45.804000000000002</v>
      </c>
      <c r="G30" s="2" cm="1">
        <f t="array" ref="G30">_xlfn.XLOOKUP(G$4,YEAR(INDEX(BS_Data[],0,1)),INDEX(BS_Data[],0,3))/1000</f>
        <v>37.445</v>
      </c>
      <c r="H30" s="2" cm="1">
        <f t="array" ref="H30">_xlfn.XLOOKUP(H$4,YEAR(INDEX(BS_Data[],0,1)),INDEX(BS_Data[],0,3))/1000</f>
        <v>51.506</v>
      </c>
      <c r="I30" s="2" cm="1">
        <f t="array" ref="I30">_xlfn.XLOOKUP(I$4,YEAR(INDEX(BS_Data[],0,1)),INDEX(BS_Data[],0,3))/1000</f>
        <v>60.932000000000002</v>
      </c>
      <c r="J30" s="2" cm="1">
        <f t="array" ref="J30">_xlfn.XLOOKUP(J$4,YEAR(INDEX(BS_Data[],0,1)),INDEX(BS_Data[],0,3))/1000</f>
        <v>60.984999999999999</v>
      </c>
      <c r="K30" s="2" cm="1">
        <f t="array" ref="K30">_xlfn.XLOOKUP(K$4,YEAR(INDEX(BS_Data[],0,1)),INDEX(BS_Data[],0,3))/1000</f>
        <v>66.242999999999995</v>
      </c>
      <c r="L30" s="2" cm="1">
        <f t="array" ref="L30">_xlfn.XLOOKUP(L$4,YEAR(INDEX(BS_Data[],0,1)),INDEX(BS_Data[],0,3))/1000</f>
        <v>72.956999999999994</v>
      </c>
    </row>
    <row r="31" spans="1:17" x14ac:dyDescent="0.25">
      <c r="A31" t="s">
        <v>31</v>
      </c>
      <c r="B31" s="2" cm="1">
        <f t="array" ref="B31">_xlfn.XLOOKUP(B$4,YEAR(INDEX(BS_Data[],0,1)),INDEX(BS_Data[],0,4))/1000</f>
        <v>2.3490000000000002</v>
      </c>
      <c r="C31" s="2" cm="1">
        <f t="array" ref="C31">_xlfn.XLOOKUP(C$4,YEAR(INDEX(BS_Data[],0,1)),INDEX(BS_Data[],0,4))/1000</f>
        <v>2.1320000000000001</v>
      </c>
      <c r="D31" s="2" cm="1">
        <f t="array" ref="D31">_xlfn.XLOOKUP(D$4,YEAR(INDEX(BS_Data[],0,1)),INDEX(BS_Data[],0,4))/1000</f>
        <v>4.8550000000000004</v>
      </c>
      <c r="E31" s="2" cm="1">
        <f t="array" ref="E31">_xlfn.XLOOKUP(E$4,YEAR(INDEX(BS_Data[],0,1)),INDEX(BS_Data[],0,4))/1000</f>
        <v>3.956</v>
      </c>
      <c r="F31" s="2" cm="1">
        <f t="array" ref="F31">_xlfn.XLOOKUP(F$4,YEAR(INDEX(BS_Data[],0,1)),INDEX(BS_Data[],0,4))/1000</f>
        <v>4.1059999999999999</v>
      </c>
      <c r="G31" s="2" cm="1">
        <f t="array" ref="G31">_xlfn.XLOOKUP(G$4,YEAR(INDEX(BS_Data[],0,1)),INDEX(BS_Data[],0,4))/1000</f>
        <v>4.0609999999999999</v>
      </c>
      <c r="H31" s="2" cm="1">
        <f t="array" ref="H31">_xlfn.XLOOKUP(H$4,YEAR(INDEX(BS_Data[],0,1)),INDEX(BS_Data[],0,4))/1000</f>
        <v>6.58</v>
      </c>
      <c r="I31" s="2" cm="1">
        <f t="array" ref="I31">_xlfn.XLOOKUP(I$4,YEAR(INDEX(BS_Data[],0,1)),INDEX(BS_Data[],0,4))/1000</f>
        <v>4.9459999999999997</v>
      </c>
      <c r="J31" s="2" cm="1">
        <f t="array" ref="J31">_xlfn.XLOOKUP(J$4,YEAR(INDEX(BS_Data[],0,1)),INDEX(BS_Data[],0,4))/1000</f>
        <v>6.3310000000000004</v>
      </c>
      <c r="K31" s="2" cm="1">
        <f t="array" ref="K31">_xlfn.XLOOKUP(K$4,YEAR(INDEX(BS_Data[],0,1)),INDEX(BS_Data[],0,4))/1000</f>
        <v>7.2859999999999996</v>
      </c>
      <c r="L31" s="2" cm="1">
        <f t="array" ref="L31">_xlfn.XLOOKUP(L$4,YEAR(INDEX(BS_Data[],0,1)),INDEX(BS_Data[],0,4))/1000</f>
        <v>5.718</v>
      </c>
    </row>
    <row r="32" spans="1:17" x14ac:dyDescent="0.25">
      <c r="A32" t="s">
        <v>54</v>
      </c>
      <c r="B32" s="2" cm="1">
        <f t="array" ref="B32">_xlfn.XLOOKUP(B$4,YEAR(INDEX(BS_Data[],0,1)),INDEX(BS_Data[],0,5))/1000</f>
        <v>89.378</v>
      </c>
      <c r="C32" s="2" cm="1">
        <f t="array" ref="C32">_xlfn.XLOOKUP(C$4,YEAR(INDEX(BS_Data[],0,1)),INDEX(BS_Data[],0,5))/1000</f>
        <v>106.869</v>
      </c>
      <c r="D32" s="2" cm="1">
        <f t="array" ref="D32">_xlfn.XLOOKUP(D$4,YEAR(INDEX(BS_Data[],0,1)),INDEX(BS_Data[],0,5))/1000</f>
        <v>128.64500000000001</v>
      </c>
      <c r="E32" s="2" cm="1">
        <f t="array" ref="E32">_xlfn.XLOOKUP(E$4,YEAR(INDEX(BS_Data[],0,1)),INDEX(BS_Data[],0,5))/1000</f>
        <v>131.339</v>
      </c>
      <c r="F32" s="2" cm="1">
        <f t="array" ref="F32">_xlfn.XLOOKUP(F$4,YEAR(INDEX(BS_Data[],0,1)),INDEX(BS_Data[],0,5))/1000</f>
        <v>162.81899999999999</v>
      </c>
      <c r="G32" s="2" cm="1">
        <f t="array" ref="G32">_xlfn.XLOOKUP(G$4,YEAR(INDEX(BS_Data[],0,1)),INDEX(BS_Data[],0,5))/1000</f>
        <v>143.71299999999999</v>
      </c>
      <c r="H32" s="2" cm="1">
        <f t="array" ref="H32">_xlfn.XLOOKUP(H$4,YEAR(INDEX(BS_Data[],0,1)),INDEX(BS_Data[],0,5))/1000</f>
        <v>134.83600000000001</v>
      </c>
      <c r="I32" s="2" cm="1">
        <f t="array" ref="I32">_xlfn.XLOOKUP(I$4,YEAR(INDEX(BS_Data[],0,1)),INDEX(BS_Data[],0,5))/1000</f>
        <v>135.405</v>
      </c>
      <c r="J32" s="2" cm="1">
        <f t="array" ref="J32">_xlfn.XLOOKUP(J$4,YEAR(INDEX(BS_Data[],0,1)),INDEX(BS_Data[],0,5))/1000</f>
        <v>143.566</v>
      </c>
      <c r="K32" s="2" cm="1">
        <f t="array" ref="K32">_xlfn.XLOOKUP(K$4,YEAR(INDEX(BS_Data[],0,1)),INDEX(BS_Data[],0,5))/1000</f>
        <v>152.98699999999999</v>
      </c>
      <c r="L32" s="2" cm="1">
        <f t="array" ref="L32">_xlfn.XLOOKUP(L$4,YEAR(INDEX(BS_Data[],0,1)),INDEX(BS_Data[],0,5))/1000</f>
        <v>147.95699999999999</v>
      </c>
    </row>
    <row r="33" spans="1:12" x14ac:dyDescent="0.25">
      <c r="A33" t="s">
        <v>55</v>
      </c>
      <c r="B33" s="2" cm="1">
        <f t="array" ref="B33">_xlfn.XLOOKUP(B$4,YEAR(INDEX(BS_Data[],0,1)),INDEX(BS_Data[],0,6))/1000</f>
        <v>22.471</v>
      </c>
      <c r="C33" s="2" cm="1">
        <f t="array" ref="C33">_xlfn.XLOOKUP(C$4,YEAR(INDEX(BS_Data[],0,1)),INDEX(BS_Data[],0,6))/1000</f>
        <v>27.01</v>
      </c>
      <c r="D33" s="2" cm="1">
        <f t="array" ref="D33">_xlfn.XLOOKUP(D$4,YEAR(INDEX(BS_Data[],0,1)),INDEX(BS_Data[],0,6))/1000</f>
        <v>33.783000000000001</v>
      </c>
      <c r="E33" s="2" cm="1">
        <f t="array" ref="E33">_xlfn.XLOOKUP(E$4,YEAR(INDEX(BS_Data[],0,1)),INDEX(BS_Data[],0,6))/1000</f>
        <v>41.304000000000002</v>
      </c>
      <c r="F33" s="2" cm="1">
        <f t="array" ref="F33">_xlfn.XLOOKUP(F$4,YEAR(INDEX(BS_Data[],0,1)),INDEX(BS_Data[],0,6))/1000</f>
        <v>37.378</v>
      </c>
      <c r="G33" s="2" cm="1">
        <f t="array" ref="G33">_xlfn.XLOOKUP(G$4,YEAR(INDEX(BS_Data[],0,1)),INDEX(BS_Data[],0,6))/1000</f>
        <v>36.765999999999998</v>
      </c>
      <c r="H33" s="2" cm="1">
        <f t="array" ref="H33">_xlfn.XLOOKUP(H$4,YEAR(INDEX(BS_Data[],0,1)),INDEX(BS_Data[],0,6))/1000</f>
        <v>39.44</v>
      </c>
      <c r="I33" s="2" cm="1">
        <f t="array" ref="I33">_xlfn.XLOOKUP(I$4,YEAR(INDEX(BS_Data[],0,1)),INDEX(BS_Data[],0,6))/1000</f>
        <v>42.116999999999997</v>
      </c>
      <c r="J33" s="2" cm="1">
        <f t="array" ref="J33">_xlfn.XLOOKUP(J$4,YEAR(INDEX(BS_Data[],0,1)),INDEX(BS_Data[],0,6))/1000</f>
        <v>43.715000000000003</v>
      </c>
      <c r="K33" s="2" cm="1">
        <f t="array" ref="K33">_xlfn.XLOOKUP(K$4,YEAR(INDEX(BS_Data[],0,1)),INDEX(BS_Data[],0,6))/1000</f>
        <v>45.68</v>
      </c>
      <c r="L33" s="2" cm="1">
        <f t="array" ref="L33">_xlfn.XLOOKUP(L$4,YEAR(INDEX(BS_Data[],0,1)),INDEX(BS_Data[],0,6))/1000</f>
        <v>49.834000000000003</v>
      </c>
    </row>
    <row r="34" spans="1:12" x14ac:dyDescent="0.25">
      <c r="A34" t="s">
        <v>56</v>
      </c>
      <c r="B34" s="2" cm="1">
        <f t="array" ref="B34">_xlfn.XLOOKUP(B$4,YEAR(INDEX(BS_Data[],0,1)),INDEX(BS_Data[],0,7))/1000</f>
        <v>164.065</v>
      </c>
      <c r="C34" s="2" cm="1">
        <f t="array" ref="C34">_xlfn.XLOOKUP(C$4,YEAR(INDEX(BS_Data[],0,1)),INDEX(BS_Data[],0,7))/1000</f>
        <v>170.43</v>
      </c>
      <c r="D34" s="2" cm="1">
        <f t="array" ref="D34">_xlfn.XLOOKUP(D$4,YEAR(INDEX(BS_Data[],0,1)),INDEX(BS_Data[],0,7))/1000</f>
        <v>194.714</v>
      </c>
      <c r="E34" s="2" cm="1">
        <f t="array" ref="E34">_xlfn.XLOOKUP(E$4,YEAR(INDEX(BS_Data[],0,1)),INDEX(BS_Data[],0,7))/1000</f>
        <v>170.79900000000001</v>
      </c>
      <c r="F34" s="2" cm="1">
        <f t="array" ref="F34">_xlfn.XLOOKUP(F$4,YEAR(INDEX(BS_Data[],0,1)),INDEX(BS_Data[],0,7))/1000</f>
        <v>105.34099999999999</v>
      </c>
      <c r="G34" s="2" cm="1">
        <f t="array" ref="G34">_xlfn.XLOOKUP(G$4,YEAR(INDEX(BS_Data[],0,1)),INDEX(BS_Data[],0,7))/1000</f>
        <v>100.887</v>
      </c>
      <c r="H34" s="2" cm="1">
        <f t="array" ref="H34">_xlfn.XLOOKUP(H$4,YEAR(INDEX(BS_Data[],0,1)),INDEX(BS_Data[],0,7))/1000</f>
        <v>127.877</v>
      </c>
      <c r="I34" s="2" cm="1">
        <f t="array" ref="I34">_xlfn.XLOOKUP(I$4,YEAR(INDEX(BS_Data[],0,1)),INDEX(BS_Data[],0,7))/1000</f>
        <v>120.80500000000001</v>
      </c>
      <c r="J34" s="2" cm="1">
        <f t="array" ref="J34">_xlfn.XLOOKUP(J$4,YEAR(INDEX(BS_Data[],0,1)),INDEX(BS_Data[],0,7))/1000</f>
        <v>100.544</v>
      </c>
      <c r="K34" s="2" cm="1">
        <f t="array" ref="K34">_xlfn.XLOOKUP(K$4,YEAR(INDEX(BS_Data[],0,1)),INDEX(BS_Data[],0,7))/1000</f>
        <v>91.478999999999999</v>
      </c>
      <c r="L34" s="2" cm="1">
        <f t="array" ref="L34">_xlfn.XLOOKUP(L$4,YEAR(INDEX(BS_Data[],0,1)),INDEX(BS_Data[],0,7))/1000</f>
        <v>77.722999999999999</v>
      </c>
    </row>
    <row r="35" spans="1:12" x14ac:dyDescent="0.25">
      <c r="A35" t="s">
        <v>57</v>
      </c>
      <c r="B35" s="2" cm="1">
        <f t="array" ref="B35">_xlfn.XLOOKUP(B$4,YEAR(INDEX(BS_Data[],0,1)),INDEX(BS_Data[],0,8))/1000</f>
        <v>290.34500000000003</v>
      </c>
      <c r="C35" s="2" cm="1">
        <f t="array" ref="C35">_xlfn.XLOOKUP(C$4,YEAR(INDEX(BS_Data[],0,1)),INDEX(BS_Data[],0,8))/1000</f>
        <v>321.68599999999998</v>
      </c>
      <c r="D35" s="2" cm="1">
        <f t="array" ref="D35">_xlfn.XLOOKUP(D$4,YEAR(INDEX(BS_Data[],0,1)),INDEX(BS_Data[],0,8))/1000</f>
        <v>375.31900000000002</v>
      </c>
      <c r="E35" s="2" cm="1">
        <f t="array" ref="E35">_xlfn.XLOOKUP(E$4,YEAR(INDEX(BS_Data[],0,1)),INDEX(BS_Data[],0,8))/1000</f>
        <v>365.72500000000002</v>
      </c>
      <c r="F35" s="2" cm="1">
        <f t="array" ref="F35">_xlfn.XLOOKUP(F$4,YEAR(INDEX(BS_Data[],0,1)),INDEX(BS_Data[],0,8))/1000</f>
        <v>338.51600000000002</v>
      </c>
      <c r="G35" s="2" cm="1">
        <f t="array" ref="G35">_xlfn.XLOOKUP(G$4,YEAR(INDEX(BS_Data[],0,1)),INDEX(BS_Data[],0,8))/1000</f>
        <v>323.88799999999998</v>
      </c>
      <c r="H35" s="2" cm="1">
        <f t="array" ref="H35">_xlfn.XLOOKUP(H$4,YEAR(INDEX(BS_Data[],0,1)),INDEX(BS_Data[],0,8))/1000</f>
        <v>351.00200000000001</v>
      </c>
      <c r="I35" s="2" cm="1">
        <f t="array" ref="I35">_xlfn.XLOOKUP(I$4,YEAR(INDEX(BS_Data[],0,1)),INDEX(BS_Data[],0,8))/1000</f>
        <v>352.755</v>
      </c>
      <c r="J35" s="2" cm="1">
        <f t="array" ref="J35">_xlfn.XLOOKUP(J$4,YEAR(INDEX(BS_Data[],0,1)),INDEX(BS_Data[],0,8))/1000</f>
        <v>352.58300000000003</v>
      </c>
      <c r="K35" s="2" cm="1">
        <f t="array" ref="K35">_xlfn.XLOOKUP(K$4,YEAR(INDEX(BS_Data[],0,1)),INDEX(BS_Data[],0,8))/1000</f>
        <v>364.98</v>
      </c>
      <c r="L35" s="2" cm="1">
        <f t="array" ref="L35">_xlfn.XLOOKUP(L$4,YEAR(INDEX(BS_Data[],0,1)),INDEX(BS_Data[],0,8))/1000</f>
        <v>359.24099999999999</v>
      </c>
    </row>
    <row r="36" spans="1:12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</row>
    <row r="37" spans="1:12" ht="15.75" x14ac:dyDescent="0.25">
      <c r="A37" s="10" t="s">
        <v>58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</row>
    <row r="38" spans="1:12" x14ac:dyDescent="0.25">
      <c r="A38" t="s">
        <v>59</v>
      </c>
      <c r="B38" s="2" cm="1">
        <f t="array" ref="B38">_xlfn.XLOOKUP(B$4,YEAR(INDEX(BS_Data[],0,1)),INDEX(BS_Data[],0,9))/1000</f>
        <v>80.61</v>
      </c>
      <c r="C38" s="2" cm="1">
        <f t="array" ref="C38">_xlfn.XLOOKUP(C$4,YEAR(INDEX(BS_Data[],0,1)),INDEX(BS_Data[],0,9))/1000</f>
        <v>79.006</v>
      </c>
      <c r="D38" s="2" cm="1">
        <f t="array" ref="D38">_xlfn.XLOOKUP(D$4,YEAR(INDEX(BS_Data[],0,1)),INDEX(BS_Data[],0,9))/1000</f>
        <v>100.81399999999999</v>
      </c>
      <c r="E38" s="2" cm="1">
        <f t="array" ref="E38">_xlfn.XLOOKUP(E$4,YEAR(INDEX(BS_Data[],0,1)),INDEX(BS_Data[],0,9))/1000</f>
        <v>115.929</v>
      </c>
      <c r="F38" s="2" cm="1">
        <f t="array" ref="F38">_xlfn.XLOOKUP(F$4,YEAR(INDEX(BS_Data[],0,1)),INDEX(BS_Data[],0,9))/1000</f>
        <v>105.718</v>
      </c>
      <c r="G38" s="2" cm="1">
        <f t="array" ref="G38">_xlfn.XLOOKUP(G$4,YEAR(INDEX(BS_Data[],0,1)),INDEX(BS_Data[],0,9))/1000</f>
        <v>105.392</v>
      </c>
      <c r="H38" s="2" cm="1">
        <f t="array" ref="H38">_xlfn.XLOOKUP(H$4,YEAR(INDEX(BS_Data[],0,1)),INDEX(BS_Data[],0,9))/1000</f>
        <v>125.48099999999999</v>
      </c>
      <c r="I38" s="2" cm="1">
        <f t="array" ref="I38">_xlfn.XLOOKUP(I$4,YEAR(INDEX(BS_Data[],0,1)),INDEX(BS_Data[],0,9))/1000</f>
        <v>153.982</v>
      </c>
      <c r="J38" s="2" cm="1">
        <f t="array" ref="J38">_xlfn.XLOOKUP(J$4,YEAR(INDEX(BS_Data[],0,1)),INDEX(BS_Data[],0,9))/1000</f>
        <v>145.30799999999999</v>
      </c>
      <c r="K38" s="2" cm="1">
        <f t="array" ref="K38">_xlfn.XLOOKUP(K$4,YEAR(INDEX(BS_Data[],0,1)),INDEX(BS_Data[],0,9))/1000</f>
        <v>176.392</v>
      </c>
      <c r="L38" s="2" cm="1">
        <f t="array" ref="L38">_xlfn.XLOOKUP(L$4,YEAR(INDEX(BS_Data[],0,1)),INDEX(BS_Data[],0,9))/1000</f>
        <v>165.631</v>
      </c>
    </row>
    <row r="39" spans="1:12" x14ac:dyDescent="0.25">
      <c r="A39" t="s">
        <v>60</v>
      </c>
      <c r="B39" s="2" cm="1">
        <f t="array" ref="B39">_xlfn.XLOOKUP(B$4,YEAR(INDEX(BS_Data[],0,1)),INDEX(BS_Data[],0,10))/1000</f>
        <v>53.329000000000001</v>
      </c>
      <c r="C39" s="2" cm="1">
        <f t="array" ref="C39">_xlfn.XLOOKUP(C$4,YEAR(INDEX(BS_Data[],0,1)),INDEX(BS_Data[],0,10))/1000</f>
        <v>75.427000000000007</v>
      </c>
      <c r="D39" s="2" cm="1">
        <f t="array" ref="D39">_xlfn.XLOOKUP(D$4,YEAR(INDEX(BS_Data[],0,1)),INDEX(BS_Data[],0,10))/1000</f>
        <v>97.206999999999994</v>
      </c>
      <c r="E39" s="2" cm="1">
        <f t="array" ref="E39">_xlfn.XLOOKUP(E$4,YEAR(INDEX(BS_Data[],0,1)),INDEX(BS_Data[],0,10))/1000</f>
        <v>93.734999999999999</v>
      </c>
      <c r="F39" s="2" cm="1">
        <f t="array" ref="F39">_xlfn.XLOOKUP(F$4,YEAR(INDEX(BS_Data[],0,1)),INDEX(BS_Data[],0,10))/1000</f>
        <v>91.807000000000002</v>
      </c>
      <c r="G39" s="2" cm="1">
        <f t="array" ref="G39">_xlfn.XLOOKUP(G$4,YEAR(INDEX(BS_Data[],0,1)),INDEX(BS_Data[],0,10))/1000</f>
        <v>98.667000000000002</v>
      </c>
      <c r="H39" s="2" cm="1">
        <f t="array" ref="H39">_xlfn.XLOOKUP(H$4,YEAR(INDEX(BS_Data[],0,1)),INDEX(BS_Data[],0,10))/1000</f>
        <v>109.10599999999999</v>
      </c>
      <c r="I39" s="2" cm="1">
        <f t="array" ref="I39">_xlfn.XLOOKUP(I$4,YEAR(INDEX(BS_Data[],0,1)),INDEX(BS_Data[],0,10))/1000</f>
        <v>98.959000000000003</v>
      </c>
      <c r="J39" s="2" cm="1">
        <f t="array" ref="J39">_xlfn.XLOOKUP(J$4,YEAR(INDEX(BS_Data[],0,1)),INDEX(BS_Data[],0,10))/1000</f>
        <v>95.281000000000006</v>
      </c>
      <c r="K39" s="2" cm="1">
        <f t="array" ref="K39">_xlfn.XLOOKUP(K$4,YEAR(INDEX(BS_Data[],0,1)),INDEX(BS_Data[],0,10))/1000</f>
        <v>85.75</v>
      </c>
      <c r="L39" s="2" cm="1">
        <f t="array" ref="L39">_xlfn.XLOOKUP(L$4,YEAR(INDEX(BS_Data[],0,1)),INDEX(BS_Data[],0,10))/1000</f>
        <v>78.328000000000003</v>
      </c>
    </row>
    <row r="40" spans="1:12" x14ac:dyDescent="0.25">
      <c r="A40" t="s">
        <v>61</v>
      </c>
      <c r="B40" s="2" cm="1">
        <f t="array" ref="B40">_xlfn.XLOOKUP(B$4,YEAR(INDEX(BS_Data[],0,1)),INDEX(BS_Data[],0,11))/1000</f>
        <v>90.38</v>
      </c>
      <c r="C40" s="2" cm="1">
        <f t="array" ref="C40">_xlfn.XLOOKUP(C$4,YEAR(INDEX(BS_Data[],0,1)),INDEX(BS_Data[],0,11))/1000</f>
        <v>114.431</v>
      </c>
      <c r="D40" s="2" cm="1">
        <f t="array" ref="D40">_xlfn.XLOOKUP(D$4,YEAR(INDEX(BS_Data[],0,1)),INDEX(BS_Data[],0,11))/1000</f>
        <v>140.458</v>
      </c>
      <c r="E40" s="2" cm="1">
        <f t="array" ref="E40">_xlfn.XLOOKUP(E$4,YEAR(INDEX(BS_Data[],0,1)),INDEX(BS_Data[],0,11))/1000</f>
        <v>142.649</v>
      </c>
      <c r="F40" s="2" cm="1">
        <f t="array" ref="F40">_xlfn.XLOOKUP(F$4,YEAR(INDEX(BS_Data[],0,1)),INDEX(BS_Data[],0,11))/1000</f>
        <v>142.31</v>
      </c>
      <c r="G40" s="2" cm="1">
        <f t="array" ref="G40">_xlfn.XLOOKUP(G$4,YEAR(INDEX(BS_Data[],0,1)),INDEX(BS_Data[],0,11))/1000</f>
        <v>153.15700000000001</v>
      </c>
      <c r="H40" s="2" cm="1">
        <f t="array" ref="H40">_xlfn.XLOOKUP(H$4,YEAR(INDEX(BS_Data[],0,1)),INDEX(BS_Data[],0,11))/1000</f>
        <v>162.43100000000001</v>
      </c>
      <c r="I40" s="2" cm="1">
        <f t="array" ref="I40">_xlfn.XLOOKUP(I$4,YEAR(INDEX(BS_Data[],0,1)),INDEX(BS_Data[],0,11))/1000</f>
        <v>148.101</v>
      </c>
      <c r="J40" s="2" cm="1">
        <f t="array" ref="J40">_xlfn.XLOOKUP(J$4,YEAR(INDEX(BS_Data[],0,1)),INDEX(BS_Data[],0,11))/1000</f>
        <v>145.12899999999999</v>
      </c>
      <c r="K40" s="2" cm="1">
        <f t="array" ref="K40">_xlfn.XLOOKUP(K$4,YEAR(INDEX(BS_Data[],0,1)),INDEX(BS_Data[],0,11))/1000</f>
        <v>131.63800000000001</v>
      </c>
      <c r="L40" s="2" cm="1">
        <f t="array" ref="L40">_xlfn.XLOOKUP(L$4,YEAR(INDEX(BS_Data[],0,1)),INDEX(BS_Data[],0,11))/1000</f>
        <v>119.877</v>
      </c>
    </row>
    <row r="41" spans="1:12" x14ac:dyDescent="0.25">
      <c r="A41" t="s">
        <v>62</v>
      </c>
      <c r="B41" s="2" cm="1">
        <f t="array" ref="B41">_xlfn.XLOOKUP(B$4,YEAR(INDEX(BS_Data[],0,1)),INDEX(BS_Data[],0,12))/1000</f>
        <v>170.99</v>
      </c>
      <c r="C41" s="2" cm="1">
        <f t="array" ref="C41">_xlfn.XLOOKUP(C$4,YEAR(INDEX(BS_Data[],0,1)),INDEX(BS_Data[],0,12))/1000</f>
        <v>193.43700000000001</v>
      </c>
      <c r="D41" s="2" cm="1">
        <f t="array" ref="D41">_xlfn.XLOOKUP(D$4,YEAR(INDEX(BS_Data[],0,1)),INDEX(BS_Data[],0,12))/1000</f>
        <v>241.27199999999999</v>
      </c>
      <c r="E41" s="2" cm="1">
        <f t="array" ref="E41">_xlfn.XLOOKUP(E$4,YEAR(INDEX(BS_Data[],0,1)),INDEX(BS_Data[],0,12))/1000</f>
        <v>258.57799999999997</v>
      </c>
      <c r="F41" s="2" cm="1">
        <f t="array" ref="F41">_xlfn.XLOOKUP(F$4,YEAR(INDEX(BS_Data[],0,1)),INDEX(BS_Data[],0,12))/1000</f>
        <v>248.02799999999999</v>
      </c>
      <c r="G41" s="2" cm="1">
        <f t="array" ref="G41">_xlfn.XLOOKUP(G$4,YEAR(INDEX(BS_Data[],0,1)),INDEX(BS_Data[],0,12))/1000</f>
        <v>258.54899999999998</v>
      </c>
      <c r="H41" s="2" cm="1">
        <f t="array" ref="H41">_xlfn.XLOOKUP(H$4,YEAR(INDEX(BS_Data[],0,1)),INDEX(BS_Data[],0,12))/1000</f>
        <v>287.91199999999998</v>
      </c>
      <c r="I41" s="2" cm="1">
        <f t="array" ref="I41">_xlfn.XLOOKUP(I$4,YEAR(INDEX(BS_Data[],0,1)),INDEX(BS_Data[],0,12))/1000</f>
        <v>302.08300000000003</v>
      </c>
      <c r="J41" s="2" cm="1">
        <f t="array" ref="J41">_xlfn.XLOOKUP(J$4,YEAR(INDEX(BS_Data[],0,1)),INDEX(BS_Data[],0,12))/1000</f>
        <v>290.43700000000001</v>
      </c>
      <c r="K41" s="2" cm="1">
        <f t="array" ref="K41">_xlfn.XLOOKUP(K$4,YEAR(INDEX(BS_Data[],0,1)),INDEX(BS_Data[],0,12))/1000</f>
        <v>308.02999999999997</v>
      </c>
      <c r="L41" s="2" cm="1">
        <f t="array" ref="L41">_xlfn.XLOOKUP(L$4,YEAR(INDEX(BS_Data[],0,1)),INDEX(BS_Data[],0,12))/1000</f>
        <v>285.50799999999998</v>
      </c>
    </row>
    <row r="42" spans="1:12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</row>
    <row r="43" spans="1:12" ht="15.75" x14ac:dyDescent="0.25">
      <c r="A43" s="10" t="s">
        <v>63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</row>
    <row r="44" spans="1:12" x14ac:dyDescent="0.25">
      <c r="A44" t="s">
        <v>64</v>
      </c>
      <c r="B44" s="2" cm="1">
        <f t="array" ref="B44">_xlfn.XLOOKUP(B$4,YEAR(INDEX(BS_Data[],0,1)),INDEX(BS_Data[],0,13))/1000</f>
        <v>119.355</v>
      </c>
      <c r="C44" s="2" cm="1">
        <f t="array" ref="C44">_xlfn.XLOOKUP(C$4,YEAR(INDEX(BS_Data[],0,1)),INDEX(BS_Data[],0,13))/1000</f>
        <v>128.249</v>
      </c>
      <c r="D44" s="2" cm="1">
        <f t="array" ref="D44">_xlfn.XLOOKUP(D$4,YEAR(INDEX(BS_Data[],0,1)),INDEX(BS_Data[],0,13))/1000</f>
        <v>134.047</v>
      </c>
      <c r="E44" s="2" cm="1">
        <f t="array" ref="E44">_xlfn.XLOOKUP(E$4,YEAR(INDEX(BS_Data[],0,1)),INDEX(BS_Data[],0,13))/1000</f>
        <v>107.14700000000001</v>
      </c>
      <c r="F44" s="2" cm="1">
        <f t="array" ref="F44">_xlfn.XLOOKUP(F$4,YEAR(INDEX(BS_Data[],0,1)),INDEX(BS_Data[],0,13))/1000</f>
        <v>90.488</v>
      </c>
      <c r="G44" s="2" cm="1">
        <f t="array" ref="G44">_xlfn.XLOOKUP(G$4,YEAR(INDEX(BS_Data[],0,1)),INDEX(BS_Data[],0,13))/1000</f>
        <v>65.338999999999999</v>
      </c>
      <c r="H44" s="2" cm="1">
        <f t="array" ref="H44">_xlfn.XLOOKUP(H$4,YEAR(INDEX(BS_Data[],0,1)),INDEX(BS_Data[],0,13))/1000</f>
        <v>63.09</v>
      </c>
      <c r="I44" s="2" cm="1">
        <f t="array" ref="I44">_xlfn.XLOOKUP(I$4,YEAR(INDEX(BS_Data[],0,1)),INDEX(BS_Data[],0,13))/1000</f>
        <v>50.671999999999997</v>
      </c>
      <c r="J44" s="2" cm="1">
        <f t="array" ref="J44">_xlfn.XLOOKUP(J$4,YEAR(INDEX(BS_Data[],0,1)),INDEX(BS_Data[],0,13))/1000</f>
        <v>62.146000000000001</v>
      </c>
      <c r="K44" s="2" cm="1">
        <f t="array" ref="K44">_xlfn.XLOOKUP(K$4,YEAR(INDEX(BS_Data[],0,1)),INDEX(BS_Data[],0,13))/1000</f>
        <v>56.95</v>
      </c>
      <c r="L44" s="2" cm="1">
        <f t="array" ref="L44">_xlfn.XLOOKUP(L$4,YEAR(INDEX(BS_Data[],0,1)),INDEX(BS_Data[],0,13))/1000</f>
        <v>73.733000000000004</v>
      </c>
    </row>
    <row r="46" spans="1:12" x14ac:dyDescent="0.25">
      <c r="A46" t="s">
        <v>65</v>
      </c>
    </row>
    <row r="47" spans="1:12" x14ac:dyDescent="0.25">
      <c r="A47" t="s">
        <v>66</v>
      </c>
      <c r="B47" s="11">
        <f>B32/B38</f>
        <v>1.1087706239920605</v>
      </c>
      <c r="C47" s="11">
        <f t="shared" ref="C47:L47" si="4">C32/C38</f>
        <v>1.352669417512594</v>
      </c>
      <c r="D47" s="11">
        <f t="shared" si="4"/>
        <v>1.2760628484139109</v>
      </c>
      <c r="E47" s="11">
        <f t="shared" si="4"/>
        <v>1.1329261875803294</v>
      </c>
      <c r="F47" s="11">
        <f t="shared" si="4"/>
        <v>1.540125617208044</v>
      </c>
      <c r="G47" s="11">
        <f t="shared" si="4"/>
        <v>1.3636044481554577</v>
      </c>
      <c r="H47" s="11">
        <f t="shared" si="4"/>
        <v>1.0745531195957956</v>
      </c>
      <c r="I47" s="11">
        <f t="shared" si="4"/>
        <v>0.87935602862672257</v>
      </c>
      <c r="J47" s="11">
        <f t="shared" si="4"/>
        <v>0.9880116717592976</v>
      </c>
      <c r="K47" s="11">
        <f t="shared" si="4"/>
        <v>0.86731257653408322</v>
      </c>
      <c r="L47" s="11">
        <f t="shared" si="4"/>
        <v>0.89329292221866674</v>
      </c>
    </row>
    <row r="48" spans="1:12" x14ac:dyDescent="0.25">
      <c r="A48" t="s">
        <v>67</v>
      </c>
      <c r="B48" s="11">
        <f>B39/B44</f>
        <v>0.4468099367433287</v>
      </c>
      <c r="C48" s="11">
        <f t="shared" ref="C48:L48" si="5">C39/C44</f>
        <v>0.58812934213912005</v>
      </c>
      <c r="D48" s="11">
        <f t="shared" si="5"/>
        <v>0.72517102210418727</v>
      </c>
      <c r="E48" s="11">
        <f t="shared" si="5"/>
        <v>0.87482617338796231</v>
      </c>
      <c r="F48" s="11">
        <f t="shared" si="5"/>
        <v>1.0145765184333835</v>
      </c>
      <c r="G48" s="11">
        <f t="shared" si="5"/>
        <v>1.5100782075024106</v>
      </c>
      <c r="H48" s="11">
        <f t="shared" si="5"/>
        <v>1.7293707402123948</v>
      </c>
      <c r="I48" s="11">
        <f t="shared" si="5"/>
        <v>1.9529325860435744</v>
      </c>
      <c r="J48" s="11">
        <f t="shared" si="5"/>
        <v>1.5331799311299199</v>
      </c>
      <c r="K48" s="11">
        <f t="shared" si="5"/>
        <v>1.5057067603160665</v>
      </c>
      <c r="L48" s="59">
        <f t="shared" si="5"/>
        <v>1.0623194499070971</v>
      </c>
    </row>
    <row r="49" spans="1:12" x14ac:dyDescent="0.25">
      <c r="A49" t="s">
        <v>68</v>
      </c>
      <c r="B49" s="11">
        <f>B39/B35</f>
        <v>0.18367459401746197</v>
      </c>
      <c r="C49" s="11">
        <f t="shared" ref="C49:L49" si="6">C39/C35</f>
        <v>0.23447399016432177</v>
      </c>
      <c r="D49" s="11">
        <f t="shared" si="6"/>
        <v>0.25899834540750666</v>
      </c>
      <c r="E49" s="11">
        <f t="shared" si="6"/>
        <v>0.25629913186137121</v>
      </c>
      <c r="F49" s="11">
        <f t="shared" si="6"/>
        <v>0.27120431530562811</v>
      </c>
      <c r="G49" s="11">
        <f t="shared" si="6"/>
        <v>0.30463308304105124</v>
      </c>
      <c r="H49" s="11">
        <f t="shared" si="6"/>
        <v>0.31084153366647482</v>
      </c>
      <c r="I49" s="11">
        <f t="shared" si="6"/>
        <v>0.28053181386514719</v>
      </c>
      <c r="J49" s="11">
        <f t="shared" si="6"/>
        <v>0.27023707892893306</v>
      </c>
      <c r="K49" s="11">
        <f t="shared" si="6"/>
        <v>0.23494438051400077</v>
      </c>
      <c r="L49" s="11">
        <f t="shared" si="6"/>
        <v>0.21803747345097027</v>
      </c>
    </row>
    <row r="52" spans="1:12" ht="18.75" x14ac:dyDescent="0.3">
      <c r="A52" s="8" t="s">
        <v>70</v>
      </c>
    </row>
    <row r="53" spans="1:12" ht="18.75" x14ac:dyDescent="0.3">
      <c r="A53" s="8" t="s">
        <v>1</v>
      </c>
    </row>
    <row r="55" spans="1:12" x14ac:dyDescent="0.25">
      <c r="A55" s="12" t="s">
        <v>71</v>
      </c>
    </row>
    <row r="56" spans="1:12" x14ac:dyDescent="0.25">
      <c r="A56" t="s">
        <v>16</v>
      </c>
      <c r="B56" s="2" cm="1">
        <f t="array" ref="B56">_xlfn.XLOOKUP(B$4,YEAR(INDEX(CF_Data[],0,1)),INDEX(CF_Data[],0,2))/1000</f>
        <v>53.393999999999998</v>
      </c>
      <c r="C56" s="2" cm="1">
        <f t="array" ref="C56">_xlfn.XLOOKUP(C$4,YEAR(INDEX(CF_Data[],0,1)),INDEX(CF_Data[],0,2))/1000</f>
        <v>45.686999999999998</v>
      </c>
      <c r="D56" s="2" cm="1">
        <f t="array" ref="D56">_xlfn.XLOOKUP(D$4,YEAR(INDEX(CF_Data[],0,1)),INDEX(CF_Data[],0,2))/1000</f>
        <v>48.350999999999999</v>
      </c>
      <c r="E56" s="2" cm="1">
        <f t="array" ref="E56">_xlfn.XLOOKUP(E$4,YEAR(INDEX(CF_Data[],0,1)),INDEX(CF_Data[],0,2))/1000</f>
        <v>59.530999999999999</v>
      </c>
      <c r="F56" s="2" cm="1">
        <f t="array" ref="F56">_xlfn.XLOOKUP(F$4,YEAR(INDEX(CF_Data[],0,1)),INDEX(CF_Data[],0,2))/1000</f>
        <v>55.256</v>
      </c>
      <c r="G56" s="2" cm="1">
        <f t="array" ref="G56">_xlfn.XLOOKUP(G$4,YEAR(INDEX(CF_Data[],0,1)),INDEX(CF_Data[],0,2))/1000</f>
        <v>57.411000000000001</v>
      </c>
      <c r="H56" s="2" cm="1">
        <f t="array" ref="H56">_xlfn.XLOOKUP(H$4,YEAR(INDEX(CF_Data[],0,1)),INDEX(CF_Data[],0,2))/1000</f>
        <v>94.68</v>
      </c>
      <c r="I56" s="2" cm="1">
        <f t="array" ref="I56">_xlfn.XLOOKUP(I$4,YEAR(INDEX(CF_Data[],0,1)),INDEX(CF_Data[],0,2))/1000</f>
        <v>99.802999999999997</v>
      </c>
      <c r="J56" s="2" cm="1">
        <f t="array" ref="J56">_xlfn.XLOOKUP(J$4,YEAR(INDEX(CF_Data[],0,1)),INDEX(CF_Data[],0,2))/1000</f>
        <v>96.995000000000005</v>
      </c>
      <c r="K56" s="2" cm="1">
        <f t="array" ref="K56">_xlfn.XLOOKUP(K$4,YEAR(INDEX(CF_Data[],0,1)),INDEX(CF_Data[],0,2))/1000</f>
        <v>93.736000000000004</v>
      </c>
      <c r="L56" s="2" cm="1">
        <f t="array" ref="L56">_xlfn.XLOOKUP(L$4,YEAR(INDEX(CF_Data[],0,1)),INDEX(CF_Data[],0,2))/1000</f>
        <v>112.01</v>
      </c>
    </row>
    <row r="57" spans="1:12" x14ac:dyDescent="0.25">
      <c r="A57" t="s">
        <v>72</v>
      </c>
      <c r="B57" s="2" cm="1">
        <f t="array" ref="B57">_xlfn.XLOOKUP(B$4,YEAR(INDEX(CF_Data[],0,1)),INDEX(CF_Data[],0,3))/1000</f>
        <v>11.257</v>
      </c>
      <c r="C57" s="2" cm="1">
        <f t="array" ref="C57">_xlfn.XLOOKUP(C$4,YEAR(INDEX(CF_Data[],0,1)),INDEX(CF_Data[],0,3))/1000</f>
        <v>10.505000000000001</v>
      </c>
      <c r="D57" s="2" cm="1">
        <f t="array" ref="D57">_xlfn.XLOOKUP(D$4,YEAR(INDEX(CF_Data[],0,1)),INDEX(CF_Data[],0,3))/1000</f>
        <v>10.157</v>
      </c>
      <c r="E57" s="2" cm="1">
        <f t="array" ref="E57">_xlfn.XLOOKUP(E$4,YEAR(INDEX(CF_Data[],0,1)),INDEX(CF_Data[],0,3))/1000</f>
        <v>10.903</v>
      </c>
      <c r="F57" s="2" cm="1">
        <f t="array" ref="F57">_xlfn.XLOOKUP(F$4,YEAR(INDEX(CF_Data[],0,1)),INDEX(CF_Data[],0,3))/1000</f>
        <v>12.547000000000001</v>
      </c>
      <c r="G57" s="2" cm="1">
        <f t="array" ref="G57">_xlfn.XLOOKUP(G$4,YEAR(INDEX(CF_Data[],0,1)),INDEX(CF_Data[],0,3))/1000</f>
        <v>11.055999999999999</v>
      </c>
      <c r="H57" s="2" cm="1">
        <f t="array" ref="H57">_xlfn.XLOOKUP(H$4,YEAR(INDEX(CF_Data[],0,1)),INDEX(CF_Data[],0,3))/1000</f>
        <v>11.284000000000001</v>
      </c>
      <c r="I57" s="2" cm="1">
        <f t="array" ref="I57">_xlfn.XLOOKUP(I$4,YEAR(INDEX(CF_Data[],0,1)),INDEX(CF_Data[],0,3))/1000</f>
        <v>11.103999999999999</v>
      </c>
      <c r="J57" s="2" cm="1">
        <f t="array" ref="J57">_xlfn.XLOOKUP(J$4,YEAR(INDEX(CF_Data[],0,1)),INDEX(CF_Data[],0,3))/1000</f>
        <v>11.519</v>
      </c>
      <c r="K57" s="2" cm="1">
        <f t="array" ref="K57">_xlfn.XLOOKUP(K$4,YEAR(INDEX(CF_Data[],0,1)),INDEX(CF_Data[],0,3))/1000</f>
        <v>11.445</v>
      </c>
      <c r="L57" s="2" cm="1">
        <f t="array" ref="L57">_xlfn.XLOOKUP(L$4,YEAR(INDEX(CF_Data[],0,1)),INDEX(CF_Data[],0,3))/1000</f>
        <v>11.698</v>
      </c>
    </row>
    <row r="58" spans="1:12" x14ac:dyDescent="0.25">
      <c r="A58" t="s">
        <v>73</v>
      </c>
      <c r="B58" s="2" cm="1">
        <f t="array" ref="B58">_xlfn.XLOOKUP(B$4,YEAR(INDEX(CF_Data[],0,1)),INDEX(CF_Data[],0,14))/1000</f>
        <v>3.5859999999999999</v>
      </c>
      <c r="C58" s="2" cm="1">
        <f t="array" ref="C58">_xlfn.XLOOKUP(C$4,YEAR(INDEX(CF_Data[],0,1)),INDEX(CF_Data[],0,14))/1000</f>
        <v>4.21</v>
      </c>
      <c r="D58" s="2" cm="1">
        <f t="array" ref="D58">_xlfn.XLOOKUP(D$4,YEAR(INDEX(CF_Data[],0,1)),INDEX(CF_Data[],0,14))/1000</f>
        <v>4.84</v>
      </c>
      <c r="E58" s="2" cm="1">
        <f t="array" ref="E58">_xlfn.XLOOKUP(E$4,YEAR(INDEX(CF_Data[],0,1)),INDEX(CF_Data[],0,14))/1000</f>
        <v>5.34</v>
      </c>
      <c r="F58" s="2" cm="1">
        <f t="array" ref="F58">_xlfn.XLOOKUP(F$4,YEAR(INDEX(CF_Data[],0,1)),INDEX(CF_Data[],0,14))/1000</f>
        <v>6.0679999999999996</v>
      </c>
      <c r="G58" s="2" cm="1">
        <f t="array" ref="G58">_xlfn.XLOOKUP(G$4,YEAR(INDEX(CF_Data[],0,1)),INDEX(CF_Data[],0,14))/1000</f>
        <v>6.8289999999999997</v>
      </c>
      <c r="H58" s="2" cm="1">
        <f t="array" ref="H58">_xlfn.XLOOKUP(H$4,YEAR(INDEX(CF_Data[],0,1)),INDEX(CF_Data[],0,14))/1000</f>
        <v>7.9059999999999997</v>
      </c>
      <c r="I58" s="2" cm="1">
        <f t="array" ref="I58">_xlfn.XLOOKUP(I$4,YEAR(INDEX(CF_Data[],0,1)),INDEX(CF_Data[],0,14))/1000</f>
        <v>9.0380000000000003</v>
      </c>
      <c r="J58" s="2" cm="1">
        <f t="array" ref="J58">_xlfn.XLOOKUP(J$4,YEAR(INDEX(CF_Data[],0,1)),INDEX(CF_Data[],0,14))/1000</f>
        <v>10.833</v>
      </c>
      <c r="K58" s="2" cm="1">
        <f t="array" ref="K58">_xlfn.XLOOKUP(K$4,YEAR(INDEX(CF_Data[],0,1)),INDEX(CF_Data[],0,14))/1000</f>
        <v>11.688000000000001</v>
      </c>
      <c r="L58" s="2" cm="1">
        <f t="array" ref="L58">_xlfn.XLOOKUP(L$4,YEAR(INDEX(CF_Data[],0,1)),INDEX(CF_Data[],0,14))/1000</f>
        <v>12.863</v>
      </c>
    </row>
    <row r="59" spans="1:12" x14ac:dyDescent="0.25">
      <c r="A59" t="s">
        <v>74</v>
      </c>
      <c r="B59" s="2" cm="1">
        <f t="array" ref="B59">_xlfn.XLOOKUP(B$4,YEAR(INDEX(CF_Data[],0,1)),INDEX(CF_Data[],0,4))/1000</f>
        <v>16.61</v>
      </c>
      <c r="C59" s="2" cm="1">
        <f t="array" ref="C59">_xlfn.XLOOKUP(C$4,YEAR(INDEX(CF_Data[],0,1)),INDEX(CF_Data[],0,4))/1000</f>
        <v>20.138999999999999</v>
      </c>
      <c r="D59" s="2" cm="1">
        <f t="array" ref="D59">_xlfn.XLOOKUP(D$4,YEAR(INDEX(CF_Data[],0,1)),INDEX(CF_Data[],0,4))/1000</f>
        <v>20.797000000000001</v>
      </c>
      <c r="E59" s="2" cm="1">
        <f t="array" ref="E59">_xlfn.XLOOKUP(E$4,YEAR(INDEX(CF_Data[],0,1)),INDEX(CF_Data[],0,4))/1000</f>
        <v>-16.791</v>
      </c>
      <c r="F59" s="2" cm="1">
        <f t="array" ref="F59">_xlfn.XLOOKUP(F$4,YEAR(INDEX(CF_Data[],0,1)),INDEX(CF_Data[],0,4))/1000</f>
        <v>17.623000000000001</v>
      </c>
      <c r="G59" s="2" cm="1">
        <f t="array" ref="G59">_xlfn.XLOOKUP(G$4,YEAR(INDEX(CF_Data[],0,1)),INDEX(CF_Data[],0,4))/1000</f>
        <v>17.573</v>
      </c>
      <c r="H59" s="2" cm="1">
        <f t="array" ref="H59">_xlfn.XLOOKUP(H$4,YEAR(INDEX(CF_Data[],0,1)),INDEX(CF_Data[],0,4))/1000</f>
        <v>14.269</v>
      </c>
      <c r="I59" s="2" cm="1">
        <f t="array" ref="I59">_xlfn.XLOOKUP(I$4,YEAR(INDEX(CF_Data[],0,1)),INDEX(CF_Data[],0,4))/1000</f>
        <v>21.148</v>
      </c>
      <c r="J59" s="2" cm="1">
        <f t="array" ref="J59">_xlfn.XLOOKUP(J$4,YEAR(INDEX(CF_Data[],0,1)),INDEX(CF_Data[],0,4))/1000</f>
        <v>20.125</v>
      </c>
      <c r="K59" s="2" cm="1">
        <f t="array" ref="K59">_xlfn.XLOOKUP(K$4,YEAR(INDEX(CF_Data[],0,1)),INDEX(CF_Data[],0,4))/1000</f>
        <v>20.867000000000001</v>
      </c>
      <c r="L59" s="2" cm="1">
        <f t="array" ref="L59">_xlfn.XLOOKUP(L$4,YEAR(INDEX(CF_Data[],0,1)),INDEX(CF_Data[],0,4))/1000</f>
        <v>24.472000000000001</v>
      </c>
    </row>
    <row r="60" spans="1:12" x14ac:dyDescent="0.25">
      <c r="A60" t="s">
        <v>75</v>
      </c>
      <c r="B60" s="2" cm="1">
        <f t="array" ref="B60">_xlfn.XLOOKUP(B$4,YEAR(INDEX(CF_Data[],0,1)),INDEX(CF_Data[],0,5))/1000</f>
        <v>0.41699999999999998</v>
      </c>
      <c r="C60" s="2" cm="1">
        <f t="array" ref="C60">_xlfn.XLOOKUP(C$4,YEAR(INDEX(CF_Data[],0,1)),INDEX(CF_Data[],0,5))/1000</f>
        <v>0.52700000000000002</v>
      </c>
      <c r="D60" s="2" cm="1">
        <f t="array" ref="D60">_xlfn.XLOOKUP(D$4,YEAR(INDEX(CF_Data[],0,1)),INDEX(CF_Data[],0,5))/1000</f>
        <v>-2.093</v>
      </c>
      <c r="E60" s="2" cm="1">
        <f t="array" ref="E60">_xlfn.XLOOKUP(E$4,YEAR(INDEX(CF_Data[],0,1)),INDEX(CF_Data[],0,5))/1000</f>
        <v>-5.3220000000000001</v>
      </c>
      <c r="F60" s="2" cm="1">
        <f t="array" ref="F60">_xlfn.XLOOKUP(F$4,YEAR(INDEX(CF_Data[],0,1)),INDEX(CF_Data[],0,5))/1000</f>
        <v>0.245</v>
      </c>
      <c r="G60" s="2" cm="1">
        <f t="array" ref="G60">_xlfn.XLOOKUP(G$4,YEAR(INDEX(CF_Data[],0,1)),INDEX(CF_Data[],0,5))/1000</f>
        <v>6.9169999999999998</v>
      </c>
      <c r="H60" s="2" cm="1">
        <f t="array" ref="H60">_xlfn.XLOOKUP(H$4,YEAR(INDEX(CF_Data[],0,1)),INDEX(CF_Data[],0,5))/1000</f>
        <v>-10.125</v>
      </c>
      <c r="I60" s="2" cm="1">
        <f t="array" ref="I60">_xlfn.XLOOKUP(I$4,YEAR(INDEX(CF_Data[],0,1)),INDEX(CF_Data[],0,5))/1000</f>
        <v>-1.823</v>
      </c>
      <c r="J60" s="2" cm="1">
        <f t="array" ref="J60">_xlfn.XLOOKUP(J$4,YEAR(INDEX(CF_Data[],0,1)),INDEX(CF_Data[],0,5))/1000</f>
        <v>-1.6879999999999999</v>
      </c>
      <c r="K60" s="2" cm="1">
        <f t="array" ref="K60">_xlfn.XLOOKUP(K$4,YEAR(INDEX(CF_Data[],0,1)),INDEX(CF_Data[],0,5))/1000</f>
        <v>-3.7879999999999998</v>
      </c>
      <c r="L60" s="2" cm="1">
        <f t="array" ref="L60">_xlfn.XLOOKUP(L$4,YEAR(INDEX(CF_Data[],0,1)),INDEX(CF_Data[],0,5))/1000</f>
        <v>-6.6820000000000004</v>
      </c>
    </row>
    <row r="61" spans="1:12" x14ac:dyDescent="0.25">
      <c r="A61" t="s">
        <v>76</v>
      </c>
      <c r="B61" s="2" cm="1">
        <f t="array" ref="B61">_xlfn.XLOOKUP(B$4,YEAR(INDEX(CF_Data[],0,1)),INDEX(CF_Data[],0,6))/1000</f>
        <v>-0.23799999999999999</v>
      </c>
      <c r="C61" s="2" cm="1">
        <f t="array" ref="C61">_xlfn.XLOOKUP(C$4,YEAR(INDEX(CF_Data[],0,1)),INDEX(CF_Data[],0,6))/1000</f>
        <v>0.217</v>
      </c>
      <c r="D61" s="2" cm="1">
        <f t="array" ref="D61">_xlfn.XLOOKUP(D$4,YEAR(INDEX(CF_Data[],0,1)),INDEX(CF_Data[],0,6))/1000</f>
        <v>-2.7229999999999999</v>
      </c>
      <c r="E61" s="2" cm="1">
        <f t="array" ref="E61">_xlfn.XLOOKUP(E$4,YEAR(INDEX(CF_Data[],0,1)),INDEX(CF_Data[],0,6))/1000</f>
        <v>0.82799999999999996</v>
      </c>
      <c r="F61" s="2" cm="1">
        <f t="array" ref="F61">_xlfn.XLOOKUP(F$4,YEAR(INDEX(CF_Data[],0,1)),INDEX(CF_Data[],0,6))/1000</f>
        <v>-0.28899999999999998</v>
      </c>
      <c r="G61" s="2" cm="1">
        <f t="array" ref="G61">_xlfn.XLOOKUP(G$4,YEAR(INDEX(CF_Data[],0,1)),INDEX(CF_Data[],0,6))/1000</f>
        <v>-0.127</v>
      </c>
      <c r="H61" s="2" cm="1">
        <f t="array" ref="H61">_xlfn.XLOOKUP(H$4,YEAR(INDEX(CF_Data[],0,1)),INDEX(CF_Data[],0,6))/1000</f>
        <v>-2.6419999999999999</v>
      </c>
      <c r="I61" s="2" cm="1">
        <f t="array" ref="I61">_xlfn.XLOOKUP(I$4,YEAR(INDEX(CF_Data[],0,1)),INDEX(CF_Data[],0,6))/1000</f>
        <v>1.484</v>
      </c>
      <c r="J61" s="2" cm="1">
        <f t="array" ref="J61">_xlfn.XLOOKUP(J$4,YEAR(INDEX(CF_Data[],0,1)),INDEX(CF_Data[],0,6))/1000</f>
        <v>-1.6180000000000001</v>
      </c>
      <c r="K61" s="2" cm="1">
        <f t="array" ref="K61">_xlfn.XLOOKUP(K$4,YEAR(INDEX(CF_Data[],0,1)),INDEX(CF_Data[],0,6))/1000</f>
        <v>-1.046</v>
      </c>
      <c r="L61" s="2" cm="1">
        <f t="array" ref="L61">_xlfn.XLOOKUP(L$4,YEAR(INDEX(CF_Data[],0,1)),INDEX(CF_Data[],0,6))/1000</f>
        <v>1.4</v>
      </c>
    </row>
    <row r="62" spans="1:12" x14ac:dyDescent="0.25">
      <c r="A62" t="s">
        <v>77</v>
      </c>
      <c r="B62" s="2" cm="1">
        <f t="array" ref="B62">_xlfn.XLOOKUP(B$4,YEAR(INDEX(CF_Data[],0,1)),INDEX(CF_Data[],0,7))/1000</f>
        <v>5.0010000000000003</v>
      </c>
      <c r="C62" s="2" cm="1">
        <f t="array" ref="C62">_xlfn.XLOOKUP(C$4,YEAR(INDEX(CF_Data[],0,1)),INDEX(CF_Data[],0,7))/1000</f>
        <v>2.117</v>
      </c>
      <c r="D62" s="2" cm="1">
        <f t="array" ref="D62">_xlfn.XLOOKUP(D$4,YEAR(INDEX(CF_Data[],0,1)),INDEX(CF_Data[],0,7))/1000</f>
        <v>8.9659999999999993</v>
      </c>
      <c r="E62" s="2" cm="1">
        <f t="array" ref="E62">_xlfn.XLOOKUP(E$4,YEAR(INDEX(CF_Data[],0,1)),INDEX(CF_Data[],0,7))/1000</f>
        <v>9.1750000000000007</v>
      </c>
      <c r="F62" s="2" cm="1">
        <f t="array" ref="F62">_xlfn.XLOOKUP(F$4,YEAR(INDEX(CF_Data[],0,1)),INDEX(CF_Data[],0,7))/1000</f>
        <v>-1.923</v>
      </c>
      <c r="G62" s="2" cm="1">
        <f t="array" ref="G62">_xlfn.XLOOKUP(G$4,YEAR(INDEX(CF_Data[],0,1)),INDEX(CF_Data[],0,7))/1000</f>
        <v>-4.0620000000000003</v>
      </c>
      <c r="H62" s="2" cm="1">
        <f t="array" ref="H62">_xlfn.XLOOKUP(H$4,YEAR(INDEX(CF_Data[],0,1)),INDEX(CF_Data[],0,7))/1000</f>
        <v>12.326000000000001</v>
      </c>
      <c r="I62" s="2" cm="1">
        <f t="array" ref="I62">_xlfn.XLOOKUP(I$4,YEAR(INDEX(CF_Data[],0,1)),INDEX(CF_Data[],0,7))/1000</f>
        <v>9.4480000000000004</v>
      </c>
      <c r="J62" s="2" cm="1">
        <f t="array" ref="J62">_xlfn.XLOOKUP(J$4,YEAR(INDEX(CF_Data[],0,1)),INDEX(CF_Data[],0,7))/1000</f>
        <v>-1.889</v>
      </c>
      <c r="K62" s="2" cm="1">
        <f t="array" ref="K62">_xlfn.XLOOKUP(K$4,YEAR(INDEX(CF_Data[],0,1)),INDEX(CF_Data[],0,7))/1000</f>
        <v>6.02</v>
      </c>
      <c r="L62" s="2" cm="1">
        <f t="array" ref="L62">_xlfn.XLOOKUP(L$4,YEAR(INDEX(CF_Data[],0,1)),INDEX(CF_Data[],0,7))/1000</f>
        <v>0.90200000000000002</v>
      </c>
    </row>
    <row r="63" spans="1:12" x14ac:dyDescent="0.25">
      <c r="A63" t="s">
        <v>78</v>
      </c>
      <c r="B63" s="2" cm="1">
        <f t="array" ref="B63">_xlfn.XLOOKUP(B$4,YEAR(INDEX(CF_Data[],0,1)),INDEX(CF_Data[],0,8))/1000</f>
        <v>81.266000000000005</v>
      </c>
      <c r="C63" s="2" cm="1">
        <f t="array" ref="C63">_xlfn.XLOOKUP(C$4,YEAR(INDEX(CF_Data[],0,1)),INDEX(CF_Data[],0,8))/1000</f>
        <v>66.230999999999995</v>
      </c>
      <c r="D63" s="2" cm="1">
        <f t="array" ref="D63">_xlfn.XLOOKUP(D$4,YEAR(INDEX(CF_Data[],0,1)),INDEX(CF_Data[],0,8))/1000</f>
        <v>64.224999999999994</v>
      </c>
      <c r="E63" s="2" cm="1">
        <f t="array" ref="E63">_xlfn.XLOOKUP(E$4,YEAR(INDEX(CF_Data[],0,1)),INDEX(CF_Data[],0,8))/1000</f>
        <v>77.433999999999997</v>
      </c>
      <c r="F63" s="2" cm="1">
        <f t="array" ref="F63">_xlfn.XLOOKUP(F$4,YEAR(INDEX(CF_Data[],0,1)),INDEX(CF_Data[],0,8))/1000</f>
        <v>69.391000000000005</v>
      </c>
      <c r="G63" s="2" cm="1">
        <f t="array" ref="G63">_xlfn.XLOOKUP(G$4,YEAR(INDEX(CF_Data[],0,1)),INDEX(CF_Data[],0,8))/1000</f>
        <v>80.674000000000007</v>
      </c>
      <c r="H63" s="2" cm="1">
        <f t="array" ref="H63">_xlfn.XLOOKUP(H$4,YEAR(INDEX(CF_Data[],0,1)),INDEX(CF_Data[],0,8))/1000</f>
        <v>104.038</v>
      </c>
      <c r="I63" s="2" cm="1">
        <f t="array" ref="I63">_xlfn.XLOOKUP(I$4,YEAR(INDEX(CF_Data[],0,1)),INDEX(CF_Data[],0,8))/1000</f>
        <v>122.151</v>
      </c>
      <c r="J63" s="2" cm="1">
        <f t="array" ref="J63">_xlfn.XLOOKUP(J$4,YEAR(INDEX(CF_Data[],0,1)),INDEX(CF_Data[],0,8))/1000</f>
        <v>110.54300000000001</v>
      </c>
      <c r="K63" s="2" cm="1">
        <f t="array" ref="K63">_xlfn.XLOOKUP(K$4,YEAR(INDEX(CF_Data[],0,1)),INDEX(CF_Data[],0,8))/1000</f>
        <v>118.254</v>
      </c>
      <c r="L63" s="2" cm="1">
        <f t="array" ref="L63">_xlfn.XLOOKUP(L$4,YEAR(INDEX(CF_Data[],0,1)),INDEX(CF_Data[],0,8))/1000</f>
        <v>111.482</v>
      </c>
    </row>
    <row r="64" spans="1:12" x14ac:dyDescent="0.25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</row>
    <row r="65" spans="1:14" x14ac:dyDescent="0.25">
      <c r="A65" s="12" t="s">
        <v>79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</row>
    <row r="66" spans="1:14" x14ac:dyDescent="0.25">
      <c r="A66" t="s">
        <v>80</v>
      </c>
      <c r="B66" s="2" cm="1">
        <f t="array" ref="B66">_xlfn.XLOOKUP(B$4,YEAR(INDEX(CF_Data[],0,1)),INDEX(CF_Data[],0,9))/1000</f>
        <v>-11.247</v>
      </c>
      <c r="C66" s="2" cm="1">
        <f t="array" ref="C66">_xlfn.XLOOKUP(C$4,YEAR(INDEX(CF_Data[],0,1)),INDEX(CF_Data[],0,9))/1000</f>
        <v>-12.734</v>
      </c>
      <c r="D66" s="2" cm="1">
        <f t="array" ref="D66">_xlfn.XLOOKUP(D$4,YEAR(INDEX(CF_Data[],0,1)),INDEX(CF_Data[],0,9))/1000</f>
        <v>-12.451000000000001</v>
      </c>
      <c r="E66" s="2" cm="1">
        <f t="array" ref="E66">_xlfn.XLOOKUP(E$4,YEAR(INDEX(CF_Data[],0,1)),INDEX(CF_Data[],0,9))/1000</f>
        <v>-13.313000000000001</v>
      </c>
      <c r="F66" s="2" cm="1">
        <f t="array" ref="F66">_xlfn.XLOOKUP(F$4,YEAR(INDEX(CF_Data[],0,1)),INDEX(CF_Data[],0,9))/1000</f>
        <v>-10.494999999999999</v>
      </c>
      <c r="G66" s="2" cm="1">
        <f t="array" ref="G66">_xlfn.XLOOKUP(G$4,YEAR(INDEX(CF_Data[],0,1)),INDEX(CF_Data[],0,9))/1000</f>
        <v>-7.3090000000000002</v>
      </c>
      <c r="H66" s="2" cm="1">
        <f t="array" ref="H66">_xlfn.XLOOKUP(H$4,YEAR(INDEX(CF_Data[],0,1)),INDEX(CF_Data[],0,9))/1000</f>
        <v>-11.085000000000001</v>
      </c>
      <c r="I66" s="2" cm="1">
        <f t="array" ref="I66">_xlfn.XLOOKUP(I$4,YEAR(INDEX(CF_Data[],0,1)),INDEX(CF_Data[],0,9))/1000</f>
        <v>-10.708</v>
      </c>
      <c r="J66" s="2" cm="1">
        <f t="array" ref="J66">_xlfn.XLOOKUP(J$4,YEAR(INDEX(CF_Data[],0,1)),INDEX(CF_Data[],0,9))/1000</f>
        <v>-10.959</v>
      </c>
      <c r="K66" s="2" cm="1">
        <f t="array" ref="K66">_xlfn.XLOOKUP(K$4,YEAR(INDEX(CF_Data[],0,1)),INDEX(CF_Data[],0,9))/1000</f>
        <v>-9.4469999999999992</v>
      </c>
      <c r="L66" s="2" cm="1">
        <f t="array" ref="L66">_xlfn.XLOOKUP(L$4,YEAR(INDEX(CF_Data[],0,1)),INDEX(CF_Data[],0,9))/1000</f>
        <v>-12.715</v>
      </c>
    </row>
    <row r="67" spans="1:14" x14ac:dyDescent="0.25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</row>
    <row r="68" spans="1:14" x14ac:dyDescent="0.25">
      <c r="A68" s="12" t="s">
        <v>81</v>
      </c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</row>
    <row r="69" spans="1:14" x14ac:dyDescent="0.25">
      <c r="A69" t="s">
        <v>82</v>
      </c>
      <c r="B69" s="2" cm="1">
        <f t="array" ref="B69">_xlfn.XLOOKUP(B$4,YEAR(INDEX(CF_Data[],0,1)),INDEX(CF_Data[],0,10))/1000</f>
        <v>-34.71</v>
      </c>
      <c r="C69" s="2" cm="1">
        <f t="array" ref="C69">_xlfn.XLOOKUP(C$4,YEAR(INDEX(CF_Data[],0,1)),INDEX(CF_Data[],0,10))/1000</f>
        <v>-30.797000000000001</v>
      </c>
      <c r="D69" s="2" cm="1">
        <f t="array" ref="D69">_xlfn.XLOOKUP(D$4,YEAR(INDEX(CF_Data[],0,1)),INDEX(CF_Data[],0,10))/1000</f>
        <v>-32.344999999999999</v>
      </c>
      <c r="E69" s="2" cm="1">
        <f t="array" ref="E69">_xlfn.XLOOKUP(E$4,YEAR(INDEX(CF_Data[],0,1)),INDEX(CF_Data[],0,10))/1000</f>
        <v>-72.069000000000003</v>
      </c>
      <c r="F69" s="2" cm="1">
        <f t="array" ref="F69">_xlfn.XLOOKUP(F$4,YEAR(INDEX(CF_Data[],0,1)),INDEX(CF_Data[],0,10))/1000</f>
        <v>-66.116</v>
      </c>
      <c r="G69" s="2" cm="1">
        <f t="array" ref="G69">_xlfn.XLOOKUP(G$4,YEAR(INDEX(CF_Data[],0,1)),INDEX(CF_Data[],0,10))/1000</f>
        <v>-72.358000000000004</v>
      </c>
      <c r="H69" s="2" cm="1">
        <f t="array" ref="H69">_xlfn.XLOOKUP(H$4,YEAR(INDEX(CF_Data[],0,1)),INDEX(CF_Data[],0,10))/1000</f>
        <v>-85.971000000000004</v>
      </c>
      <c r="I69" s="2" cm="1">
        <f t="array" ref="I69">_xlfn.XLOOKUP(I$4,YEAR(INDEX(CF_Data[],0,1)),INDEX(CF_Data[],0,10))/1000</f>
        <v>-89.402000000000001</v>
      </c>
      <c r="J69" s="2" cm="1">
        <f t="array" ref="J69">_xlfn.XLOOKUP(J$4,YEAR(INDEX(CF_Data[],0,1)),INDEX(CF_Data[],0,10))/1000</f>
        <v>-77.55</v>
      </c>
      <c r="K69" s="2" cm="1">
        <f t="array" ref="K69">_xlfn.XLOOKUP(K$4,YEAR(INDEX(CF_Data[],0,1)),INDEX(CF_Data[],0,10))/1000</f>
        <v>-94.948999999999998</v>
      </c>
      <c r="L69" s="2" cm="1">
        <f t="array" ref="L69">_xlfn.XLOOKUP(L$4,YEAR(INDEX(CF_Data[],0,1)),INDEX(CF_Data[],0,10))/1000</f>
        <v>-90.710999999999999</v>
      </c>
    </row>
    <row r="70" spans="1:14" x14ac:dyDescent="0.25">
      <c r="A70" t="s">
        <v>83</v>
      </c>
      <c r="B70" s="2" cm="1">
        <f t="array" ref="B70">_xlfn.XLOOKUP(B$4,YEAR(INDEX(CF_Data[],0,1)),INDEX(CF_Data[],0,11))/1000</f>
        <v>-11.561</v>
      </c>
      <c r="C70" s="2" cm="1">
        <f t="array" ref="C70">_xlfn.XLOOKUP(C$4,YEAR(INDEX(CF_Data[],0,1)),INDEX(CF_Data[],0,11))/1000</f>
        <v>-12.15</v>
      </c>
      <c r="D70" s="2" cm="1">
        <f t="array" ref="D70">_xlfn.XLOOKUP(D$4,YEAR(INDEX(CF_Data[],0,1)),INDEX(CF_Data[],0,11))/1000</f>
        <v>-12.769</v>
      </c>
      <c r="E70" s="2" cm="1">
        <f t="array" ref="E70">_xlfn.XLOOKUP(E$4,YEAR(INDEX(CF_Data[],0,1)),INDEX(CF_Data[],0,11))/1000</f>
        <v>-13.712</v>
      </c>
      <c r="F70" s="2" cm="1">
        <f t="array" ref="F70">_xlfn.XLOOKUP(F$4,YEAR(INDEX(CF_Data[],0,1)),INDEX(CF_Data[],0,11))/1000</f>
        <v>-14.119</v>
      </c>
      <c r="G70" s="2" cm="1">
        <f t="array" ref="G70">_xlfn.XLOOKUP(G$4,YEAR(INDEX(CF_Data[],0,1)),INDEX(CF_Data[],0,11))/1000</f>
        <v>-14.081</v>
      </c>
      <c r="H70" s="2" cm="1">
        <f t="array" ref="H70">_xlfn.XLOOKUP(H$4,YEAR(INDEX(CF_Data[],0,1)),INDEX(CF_Data[],0,11))/1000</f>
        <v>-14.467000000000001</v>
      </c>
      <c r="I70" s="2" cm="1">
        <f t="array" ref="I70">_xlfn.XLOOKUP(I$4,YEAR(INDEX(CF_Data[],0,1)),INDEX(CF_Data[],0,11))/1000</f>
        <v>-14.840999999999999</v>
      </c>
      <c r="J70" s="2" cm="1">
        <f t="array" ref="J70">_xlfn.XLOOKUP(J$4,YEAR(INDEX(CF_Data[],0,1)),INDEX(CF_Data[],0,11))/1000</f>
        <v>-15.025</v>
      </c>
      <c r="K70" s="2" cm="1">
        <f t="array" ref="K70">_xlfn.XLOOKUP(K$4,YEAR(INDEX(CF_Data[],0,1)),INDEX(CF_Data[],0,11))/1000</f>
        <v>-15.234</v>
      </c>
      <c r="L70" s="2" cm="1">
        <f t="array" ref="L70">_xlfn.XLOOKUP(L$4,YEAR(INDEX(CF_Data[],0,1)),INDEX(CF_Data[],0,11))/1000</f>
        <v>-15.420999999999999</v>
      </c>
    </row>
    <row r="71" spans="1:14" x14ac:dyDescent="0.25">
      <c r="A71" t="s">
        <v>84</v>
      </c>
      <c r="B71" s="2" cm="1">
        <f t="array" ref="B71">_xlfn.XLOOKUP(B$4,YEAR(INDEX(CF_Data[],0,1)),INDEX(CF_Data[],0,12))/1000</f>
        <v>-17.716000000000001</v>
      </c>
      <c r="C71" s="2" cm="1">
        <f t="array" ref="C71">_xlfn.XLOOKUP(C$4,YEAR(INDEX(CF_Data[],0,1)),INDEX(CF_Data[],0,12))/1000</f>
        <v>-20.89</v>
      </c>
      <c r="D71" s="2" cm="1">
        <f t="array" ref="D71">_xlfn.XLOOKUP(D$4,YEAR(INDEX(CF_Data[],0,1)),INDEX(CF_Data[],0,12))/1000</f>
        <v>-17.974</v>
      </c>
      <c r="E71" s="2" cm="1">
        <f t="array" ref="E71">_xlfn.XLOOKUP(E$4,YEAR(INDEX(CF_Data[],0,1)),INDEX(CF_Data[],0,12))/1000</f>
        <v>-87.876000000000005</v>
      </c>
      <c r="F71" s="2" cm="1">
        <f t="array" ref="F71">_xlfn.XLOOKUP(F$4,YEAR(INDEX(CF_Data[],0,1)),INDEX(CF_Data[],0,12))/1000</f>
        <v>-90.975999999999999</v>
      </c>
      <c r="G71" s="2" cm="1">
        <f t="array" ref="G71">_xlfn.XLOOKUP(G$4,YEAR(INDEX(CF_Data[],0,1)),INDEX(CF_Data[],0,12))/1000</f>
        <v>-86.82</v>
      </c>
      <c r="H71" s="2" cm="1">
        <f t="array" ref="H71">_xlfn.XLOOKUP(H$4,YEAR(INDEX(CF_Data[],0,1)),INDEX(CF_Data[],0,12))/1000</f>
        <v>-93.352999999999994</v>
      </c>
      <c r="I71" s="2" cm="1">
        <f t="array" ref="I71">_xlfn.XLOOKUP(I$4,YEAR(INDEX(CF_Data[],0,1)),INDEX(CF_Data[],0,12))/1000</f>
        <v>-110.749</v>
      </c>
      <c r="J71" s="2" cm="1">
        <f t="array" ref="J71">_xlfn.XLOOKUP(J$4,YEAR(INDEX(CF_Data[],0,1)),INDEX(CF_Data[],0,12))/1000</f>
        <v>-108.488</v>
      </c>
      <c r="K71" s="2" cm="1">
        <f t="array" ref="K71">_xlfn.XLOOKUP(K$4,YEAR(INDEX(CF_Data[],0,1)),INDEX(CF_Data[],0,12))/1000</f>
        <v>-121.983</v>
      </c>
      <c r="L71" s="2" cm="1">
        <f t="array" ref="L71">_xlfn.XLOOKUP(L$4,YEAR(INDEX(CF_Data[],0,1)),INDEX(CF_Data[],0,12))/1000</f>
        <v>-120.68600000000001</v>
      </c>
    </row>
    <row r="72" spans="1:14" x14ac:dyDescent="0.25"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</row>
    <row r="73" spans="1:14" x14ac:dyDescent="0.25">
      <c r="A73" s="12" t="s">
        <v>85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</row>
    <row r="74" spans="1:14" x14ac:dyDescent="0.25">
      <c r="A74" t="s">
        <v>86</v>
      </c>
      <c r="B74" s="2">
        <f>B63+B66</f>
        <v>70.019000000000005</v>
      </c>
      <c r="C74" s="2">
        <f t="shared" ref="C74:L74" si="7">C63+C66</f>
        <v>53.496999999999993</v>
      </c>
      <c r="D74" s="2">
        <f t="shared" si="7"/>
        <v>51.773999999999994</v>
      </c>
      <c r="E74" s="2">
        <f t="shared" si="7"/>
        <v>64.120999999999995</v>
      </c>
      <c r="F74" s="2">
        <f t="shared" si="7"/>
        <v>58.896000000000008</v>
      </c>
      <c r="G74" s="2">
        <f t="shared" si="7"/>
        <v>73.365000000000009</v>
      </c>
      <c r="H74" s="2">
        <f t="shared" si="7"/>
        <v>92.953000000000003</v>
      </c>
      <c r="I74" s="2">
        <f t="shared" si="7"/>
        <v>111.443</v>
      </c>
      <c r="J74" s="2">
        <f t="shared" si="7"/>
        <v>99.584000000000003</v>
      </c>
      <c r="K74" s="2">
        <f t="shared" si="7"/>
        <v>108.807</v>
      </c>
      <c r="L74" s="2">
        <f t="shared" si="7"/>
        <v>98.766999999999996</v>
      </c>
      <c r="N74" s="3">
        <f>(K74-L74)/L74</f>
        <v>0.1016533862524933</v>
      </c>
    </row>
    <row r="75" spans="1:14" x14ac:dyDescent="0.25">
      <c r="A75" t="s">
        <v>87</v>
      </c>
      <c r="B75" s="2" cm="1">
        <f t="array" ref="B75">_xlfn.XLOOKUP(B$4,YEAR(INDEX(CF_Data[],0,1)),INDEX(CF_Data[],0,13))/1000</f>
        <v>7.2759999999999998</v>
      </c>
      <c r="C75" s="2" cm="1">
        <f t="array" ref="C75">_xlfn.XLOOKUP(C$4,YEAR(INDEX(CF_Data[],0,1)),INDEX(CF_Data[],0,13))/1000</f>
        <v>-0.63600000000000001</v>
      </c>
      <c r="D75" s="2" cm="1">
        <f t="array" ref="D75">_xlfn.XLOOKUP(D$4,YEAR(INDEX(CF_Data[],0,1)),INDEX(CF_Data[],0,13))/1000</f>
        <v>-0.19500000000000001</v>
      </c>
      <c r="E75" s="2" cm="1">
        <f t="array" ref="E75">_xlfn.XLOOKUP(E$4,YEAR(INDEX(CF_Data[],0,1)),INDEX(CF_Data[],0,13))/1000</f>
        <v>5.6239999999999997</v>
      </c>
      <c r="F75" s="2" cm="1">
        <f t="array" ref="F75">_xlfn.XLOOKUP(F$4,YEAR(INDEX(CF_Data[],0,1)),INDEX(CF_Data[],0,13))/1000</f>
        <v>24.311</v>
      </c>
      <c r="G75" s="2" cm="1">
        <f t="array" ref="G75">_xlfn.XLOOKUP(G$4,YEAR(INDEX(CF_Data[],0,1)),INDEX(CF_Data[],0,13))/1000</f>
        <v>-10.435</v>
      </c>
      <c r="H75" s="2" cm="1">
        <f t="array" ref="H75">_xlfn.XLOOKUP(H$4,YEAR(INDEX(CF_Data[],0,1)),INDEX(CF_Data[],0,13))/1000</f>
        <v>-3.86</v>
      </c>
      <c r="I75" s="2" cm="1">
        <f t="array" ref="I75">_xlfn.XLOOKUP(I$4,YEAR(INDEX(CF_Data[],0,1)),INDEX(CF_Data[],0,13))/1000</f>
        <v>-10.952</v>
      </c>
      <c r="J75" s="2" cm="1">
        <f t="array" ref="J75">_xlfn.XLOOKUP(J$4,YEAR(INDEX(CF_Data[],0,1)),INDEX(CF_Data[],0,13))/1000</f>
        <v>5.76</v>
      </c>
      <c r="K75" s="2" cm="1">
        <f t="array" ref="K75">_xlfn.XLOOKUP(K$4,YEAR(INDEX(CF_Data[],0,1)),INDEX(CF_Data[],0,13))/1000</f>
        <v>-0.79400000000000004</v>
      </c>
      <c r="L75" s="2" cm="1">
        <f t="array" ref="L75">_xlfn.XLOOKUP(L$4,YEAR(INDEX(CF_Data[],0,1)),INDEX(CF_Data[],0,13))/1000</f>
        <v>5.9909999999999997</v>
      </c>
    </row>
  </sheetData>
  <pageMargins left="0.3" right="0.3" top="0.3" bottom="0.3" header="0.3" footer="0.3"/>
  <pageSetup paperSize="9" scale="73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4F677-F1A4-4027-B851-62ED7F3414CA}">
  <sheetPr codeName="Sheet8">
    <tabColor rgb="FF7030A0"/>
    <pageSetUpPr fitToPage="1"/>
  </sheetPr>
  <dimension ref="A1:M1060"/>
  <sheetViews>
    <sheetView topLeftCell="A36" zoomScale="75" zoomScaleNormal="75" workbookViewId="0">
      <selection activeCell="AG31" sqref="AG31"/>
    </sheetView>
  </sheetViews>
  <sheetFormatPr defaultRowHeight="15" x14ac:dyDescent="0.25"/>
  <cols>
    <col min="1" max="1" width="31.28515625" customWidth="1"/>
    <col min="7" max="7" width="10.140625" bestFit="1" customWidth="1"/>
    <col min="10" max="13" width="9.140625" customWidth="1"/>
  </cols>
  <sheetData>
    <row r="1" spans="1:2" ht="21" x14ac:dyDescent="0.35">
      <c r="A1" s="18" t="s">
        <v>116</v>
      </c>
    </row>
    <row r="2" spans="1:2" x14ac:dyDescent="0.25">
      <c r="A2" s="19" t="s">
        <v>117</v>
      </c>
    </row>
    <row r="3" spans="1:2" x14ac:dyDescent="0.25">
      <c r="A3" t="s">
        <v>118</v>
      </c>
    </row>
    <row r="5" spans="1:2" x14ac:dyDescent="0.25">
      <c r="A5" s="20" t="s">
        <v>119</v>
      </c>
    </row>
    <row r="6" spans="1:2" x14ac:dyDescent="0.25">
      <c r="A6" t="s">
        <v>111</v>
      </c>
      <c r="B6">
        <f>RiskFreeRate</f>
        <v>4.4999999999999998E-2</v>
      </c>
    </row>
    <row r="7" spans="1:2" x14ac:dyDescent="0.25">
      <c r="A7" t="s">
        <v>113</v>
      </c>
      <c r="B7">
        <f>Beta</f>
        <v>1.2</v>
      </c>
    </row>
    <row r="8" spans="1:2" x14ac:dyDescent="0.25">
      <c r="A8" t="s">
        <v>112</v>
      </c>
      <c r="B8">
        <f>EquityRiskPremium</f>
        <v>5.5E-2</v>
      </c>
    </row>
    <row r="9" spans="1:2" x14ac:dyDescent="0.25">
      <c r="A9" t="s">
        <v>120</v>
      </c>
      <c r="B9">
        <f>B6+(B7*B8)</f>
        <v>0.111</v>
      </c>
    </row>
    <row r="10" spans="1:2" x14ac:dyDescent="0.25">
      <c r="A10" t="s">
        <v>121</v>
      </c>
      <c r="B10">
        <f>WACC</f>
        <v>0.11</v>
      </c>
    </row>
    <row r="11" spans="1:2" x14ac:dyDescent="0.25">
      <c r="A11" t="s">
        <v>104</v>
      </c>
      <c r="B11">
        <f>TaxRate</f>
        <v>0.15</v>
      </c>
    </row>
    <row r="12" spans="1:2" x14ac:dyDescent="0.25">
      <c r="A12" t="s">
        <v>122</v>
      </c>
      <c r="B12">
        <f>B10*(1-B11)</f>
        <v>9.35E-2</v>
      </c>
    </row>
    <row r="14" spans="1:2" x14ac:dyDescent="0.25">
      <c r="A14" s="20" t="s">
        <v>123</v>
      </c>
    </row>
    <row r="15" spans="1:2" x14ac:dyDescent="0.25">
      <c r="A15" t="s">
        <v>114</v>
      </c>
      <c r="B15">
        <f>CurrentStockPrice</f>
        <v>210</v>
      </c>
    </row>
    <row r="16" spans="1:2" x14ac:dyDescent="0.25">
      <c r="A16" t="s">
        <v>124</v>
      </c>
      <c r="B16">
        <f>ShareOutstanding</f>
        <v>15.02</v>
      </c>
    </row>
    <row r="17" spans="1:7" x14ac:dyDescent="0.25">
      <c r="A17" t="s">
        <v>125</v>
      </c>
      <c r="B17">
        <f>B15*B16</f>
        <v>3154.2</v>
      </c>
    </row>
    <row r="18" spans="1:7" x14ac:dyDescent="0.25">
      <c r="A18" t="s">
        <v>157</v>
      </c>
      <c r="B18" cm="1">
        <f t="array" ref="B18">_xlfn.XLOOKUP(2025,YEAR(INDEX(BS_Data[],0,1)),INDEX(BS_Data[],0,10))/1000</f>
        <v>78.328000000000003</v>
      </c>
    </row>
    <row r="19" spans="1:7" x14ac:dyDescent="0.25">
      <c r="A19" t="s">
        <v>126</v>
      </c>
      <c r="B19">
        <f>B17+B18</f>
        <v>3232.5279999999998</v>
      </c>
    </row>
    <row r="20" spans="1:7" x14ac:dyDescent="0.25">
      <c r="A20" t="s">
        <v>127</v>
      </c>
      <c r="B20">
        <f>B17/B19</f>
        <v>0.97576881004588356</v>
      </c>
    </row>
    <row r="21" spans="1:7" x14ac:dyDescent="0.25">
      <c r="A21" t="s">
        <v>128</v>
      </c>
      <c r="B21">
        <f>B18/B19</f>
        <v>2.4231189954116408E-2</v>
      </c>
    </row>
    <row r="23" spans="1:7" x14ac:dyDescent="0.25">
      <c r="A23" s="20" t="s">
        <v>129</v>
      </c>
    </row>
    <row r="24" spans="1:7" x14ac:dyDescent="0.25">
      <c r="A24" t="s">
        <v>130</v>
      </c>
      <c r="B24" s="21">
        <f>(B20*B9)+(B21*B12)</f>
        <v>0.11057595417580296</v>
      </c>
    </row>
    <row r="26" spans="1:7" x14ac:dyDescent="0.25">
      <c r="A26" s="20" t="s">
        <v>131</v>
      </c>
    </row>
    <row r="27" spans="1:7" x14ac:dyDescent="0.25">
      <c r="B27" s="22">
        <v>2025</v>
      </c>
      <c r="C27" s="22">
        <v>2026</v>
      </c>
      <c r="D27" s="22">
        <v>2027</v>
      </c>
      <c r="E27" s="22">
        <v>2028</v>
      </c>
      <c r="F27" s="22">
        <v>2029</v>
      </c>
      <c r="G27" s="22">
        <v>2030</v>
      </c>
    </row>
    <row r="28" spans="1:7" x14ac:dyDescent="0.25">
      <c r="A28" t="s">
        <v>4</v>
      </c>
      <c r="B28" cm="1">
        <f t="array" ref="B28">_xlfn.XLOOKUP(2025,YEAR(INDEX(IS_Data[],0,1)),INDEX(IS_Data[],0,2))/1000</f>
        <v>416.161</v>
      </c>
      <c r="C28">
        <f>B28*(1+RevenueGrowth)</f>
        <v>451.53468499999997</v>
      </c>
      <c r="D28">
        <f>C28*(1+RevenueGrowth)</f>
        <v>489.91513322499998</v>
      </c>
      <c r="E28">
        <f>D28*(1+RevenueGrowth)</f>
        <v>531.5579195491249</v>
      </c>
      <c r="F28">
        <f>E28*(1+RevenueGrowth)</f>
        <v>576.74034271080052</v>
      </c>
      <c r="G28">
        <f>F28*(1+RevenueGrowth)</f>
        <v>625.76327184121851</v>
      </c>
    </row>
    <row r="29" spans="1:7" x14ac:dyDescent="0.25">
      <c r="A29" t="s">
        <v>132</v>
      </c>
      <c r="B29" s="21" cm="1">
        <f t="array" ref="B29">_xlfn.XLOOKUP(2025,YEAR(INDEX(IS_Data[],0,1)),INDEX(IS_Data[],0,2))/_xlfn.XLOOKUP(2024,YEAR(INDEX(IS_Data[],0,1)),INDEX(IS_Data[],0,2))-1</f>
        <v>6.425511782832749E-2</v>
      </c>
      <c r="C29" s="21">
        <f>RevenueGrowth</f>
        <v>8.5000000000000006E-2</v>
      </c>
      <c r="D29" s="21">
        <f>RevenueGrowth</f>
        <v>8.5000000000000006E-2</v>
      </c>
      <c r="E29" s="21">
        <f>RevenueGrowth</f>
        <v>8.5000000000000006E-2</v>
      </c>
      <c r="F29" s="21">
        <f>RevenueGrowth</f>
        <v>8.5000000000000006E-2</v>
      </c>
      <c r="G29" s="21">
        <f>RevenueGrowth</f>
        <v>8.5000000000000006E-2</v>
      </c>
    </row>
    <row r="30" spans="1:7" x14ac:dyDescent="0.25">
      <c r="A30" t="s">
        <v>133</v>
      </c>
      <c r="B30" s="21" cm="1">
        <f t="array" ref="B30">_xlfn.XLOOKUP(2025,YEAR(INDEX(IS_Data[],0,1)),INDEX(IS_Data[],0,7))/_xlfn.XLOOKUP(2025,YEAR(INDEX(IS_Data[],0,1)),INDEX(IS_Data[],0,2))</f>
        <v>0.31970799762591884</v>
      </c>
      <c r="C30" s="21">
        <f>GrossMargin</f>
        <v>0.435</v>
      </c>
      <c r="D30" s="21">
        <f>GrossMargin</f>
        <v>0.435</v>
      </c>
      <c r="E30" s="21">
        <f>GrossMargin</f>
        <v>0.435</v>
      </c>
      <c r="F30" s="21">
        <f>GrossMargin</f>
        <v>0.435</v>
      </c>
      <c r="G30" s="21">
        <f>GrossMargin</f>
        <v>0.435</v>
      </c>
    </row>
    <row r="31" spans="1:7" x14ac:dyDescent="0.25">
      <c r="A31" t="s">
        <v>134</v>
      </c>
      <c r="B31" cm="1">
        <f t="array" ref="B31">_xlfn.XLOOKUP(2025,YEAR(INDEX(IS_Data[],0,1)),INDEX(IS_Data[],0,7))/1000</f>
        <v>133.05000000000001</v>
      </c>
      <c r="C31">
        <f>C28*C30</f>
        <v>196.41758797499998</v>
      </c>
      <c r="D31">
        <f>D28*D30</f>
        <v>213.11308295287498</v>
      </c>
      <c r="E31">
        <f>E28*E30</f>
        <v>231.22769500386934</v>
      </c>
      <c r="F31">
        <f>F28*F30</f>
        <v>250.88204907919823</v>
      </c>
      <c r="G31">
        <f>G28*G30</f>
        <v>272.20702325093004</v>
      </c>
    </row>
    <row r="32" spans="1:7" x14ac:dyDescent="0.25">
      <c r="A32" t="s">
        <v>135</v>
      </c>
      <c r="B32" cm="1">
        <f t="array" ref="B32">_xlfn.XLOOKUP(2025,YEAR(INDEX(CF_Data[],0,1)),INDEX(CF_Data[],0,9))/1000</f>
        <v>-12.715</v>
      </c>
      <c r="C32">
        <f>-(C28*CapExPct)</f>
        <v>-13.546040549999999</v>
      </c>
      <c r="D32">
        <f>-(D28*CapExPct)</f>
        <v>-14.697453996749999</v>
      </c>
      <c r="E32">
        <f>-(E28*CapExPct)</f>
        <v>-15.946737586473747</v>
      </c>
      <c r="F32">
        <f>-(F28*CapExPct)</f>
        <v>-17.302210281324015</v>
      </c>
      <c r="G32">
        <f>-(G28*CapExPct)</f>
        <v>-18.772898155236554</v>
      </c>
    </row>
    <row r="33" spans="1:7" x14ac:dyDescent="0.25">
      <c r="A33" t="s">
        <v>136</v>
      </c>
      <c r="B33" cm="1">
        <f t="array" ref="B33">_xlfn.XLOOKUP(2025,YEAR(INDEX(IS_Data[],0,1)),INDEX(IS_Data[],0,9))/1000</f>
        <v>20.719000000000001</v>
      </c>
      <c r="C33">
        <f>C31*TaxRate</f>
        <v>29.462638196249994</v>
      </c>
      <c r="D33">
        <f>D31*TaxRate</f>
        <v>31.966962442931244</v>
      </c>
      <c r="E33">
        <f>E31*TaxRate</f>
        <v>34.684154250580399</v>
      </c>
      <c r="F33">
        <f>F31*TaxRate</f>
        <v>37.632307361879732</v>
      </c>
      <c r="G33">
        <f>G31*TaxRate</f>
        <v>40.831053487639501</v>
      </c>
    </row>
    <row r="34" spans="1:7" x14ac:dyDescent="0.25">
      <c r="A34" t="s">
        <v>86</v>
      </c>
      <c r="B34">
        <f t="shared" ref="B34:G34" si="0">B31+B32-B33</f>
        <v>99.616000000000014</v>
      </c>
      <c r="C34">
        <f t="shared" si="0"/>
        <v>153.40890922874999</v>
      </c>
      <c r="D34">
        <f t="shared" si="0"/>
        <v>166.44866651319373</v>
      </c>
      <c r="E34">
        <f t="shared" si="0"/>
        <v>180.59680316681519</v>
      </c>
      <c r="F34">
        <f t="shared" si="0"/>
        <v>195.94753143599448</v>
      </c>
      <c r="G34">
        <f t="shared" si="0"/>
        <v>212.60307160805397</v>
      </c>
    </row>
    <row r="35" spans="1:7" x14ac:dyDescent="0.25">
      <c r="A35" t="s">
        <v>137</v>
      </c>
      <c r="B35">
        <v>1</v>
      </c>
      <c r="C35">
        <f>B35/(1+$B$24)</f>
        <v>0.90043368599866258</v>
      </c>
      <c r="D35">
        <f>C35/(1+$B$24)</f>
        <v>0.81078082288113806</v>
      </c>
      <c r="E35">
        <f>D35/(1+$B$24)</f>
        <v>0.73005436488389197</v>
      </c>
      <c r="F35">
        <f>E35/(1+$B$24)</f>
        <v>0.65736554275181547</v>
      </c>
      <c r="G35">
        <f>F35/(1+$B$24)</f>
        <v>0.59191407870852863</v>
      </c>
    </row>
    <row r="36" spans="1:7" x14ac:dyDescent="0.25">
      <c r="A36" t="s">
        <v>138</v>
      </c>
      <c r="B36">
        <f t="shared" ref="B36:G36" si="1">B34*B35</f>
        <v>99.616000000000014</v>
      </c>
      <c r="C36">
        <f t="shared" si="1"/>
        <v>138.13454960187761</v>
      </c>
      <c r="D36">
        <f t="shared" si="1"/>
        <v>134.95338680303533</v>
      </c>
      <c r="E36">
        <f t="shared" si="1"/>
        <v>131.84548443601051</v>
      </c>
      <c r="F36">
        <f t="shared" si="1"/>
        <v>128.80915535330092</v>
      </c>
      <c r="G36">
        <f t="shared" si="1"/>
        <v>125.84275126148461</v>
      </c>
    </row>
    <row r="42" spans="1:7" x14ac:dyDescent="0.25">
      <c r="A42" s="20" t="s">
        <v>139</v>
      </c>
    </row>
    <row r="43" spans="1:7" x14ac:dyDescent="0.25">
      <c r="A43" t="s">
        <v>140</v>
      </c>
      <c r="B43">
        <f>G34</f>
        <v>212.60307160805397</v>
      </c>
    </row>
    <row r="44" spans="1:7" x14ac:dyDescent="0.25">
      <c r="A44" t="s">
        <v>110</v>
      </c>
      <c r="B44">
        <f>TerminalGrowthRate</f>
        <v>2.5000000000000001E-2</v>
      </c>
    </row>
    <row r="45" spans="1:7" x14ac:dyDescent="0.25">
      <c r="A45" t="s">
        <v>141</v>
      </c>
      <c r="B45">
        <f>B43*(1+B44)/($B$24-B44)</f>
        <v>2546.4880934961607</v>
      </c>
    </row>
    <row r="46" spans="1:7" x14ac:dyDescent="0.25">
      <c r="A46" t="s">
        <v>142</v>
      </c>
      <c r="B46">
        <f>B45*G35</f>
        <v>1507.3021538040175</v>
      </c>
    </row>
    <row r="49" spans="1:13" x14ac:dyDescent="0.25">
      <c r="A49" s="20" t="s">
        <v>143</v>
      </c>
    </row>
    <row r="50" spans="1:13" x14ac:dyDescent="0.25">
      <c r="A50" t="s">
        <v>144</v>
      </c>
      <c r="B50">
        <f>SUM(C36:G36)</f>
        <v>659.58532745570903</v>
      </c>
    </row>
    <row r="51" spans="1:13" x14ac:dyDescent="0.25">
      <c r="A51" t="s">
        <v>142</v>
      </c>
      <c r="B51">
        <f>B46</f>
        <v>1507.3021538040175</v>
      </c>
    </row>
    <row r="52" spans="1:13" x14ac:dyDescent="0.25">
      <c r="A52" t="s">
        <v>145</v>
      </c>
      <c r="B52">
        <f>B50+B51</f>
        <v>2166.8874812597264</v>
      </c>
    </row>
    <row r="53" spans="1:13" x14ac:dyDescent="0.25">
      <c r="A53" t="s">
        <v>146</v>
      </c>
      <c r="B53">
        <f>B18</f>
        <v>78.328000000000003</v>
      </c>
    </row>
    <row r="54" spans="1:13" x14ac:dyDescent="0.25">
      <c r="A54" t="s">
        <v>147</v>
      </c>
      <c r="B54" cm="1">
        <f t="array" ref="B54">_xlfn.XLOOKUP(2025,YEAR(INDEX(BS_Data[],0,1)),INDEX(BS_Data[],0,2))/1000</f>
        <v>54.697000000000003</v>
      </c>
      <c r="G54" s="41" t="str">
        <f>IF(H54&gt;0,"Upside","Downside")</f>
        <v>Downside</v>
      </c>
      <c r="H54" s="42">
        <f>(B57-CurrentStockPrice)/CurrentStockPrice</f>
        <v>-0.32050710758362611</v>
      </c>
      <c r="K54">
        <v>32.049999999999997</v>
      </c>
    </row>
    <row r="55" spans="1:13" x14ac:dyDescent="0.25">
      <c r="A55" t="s">
        <v>148</v>
      </c>
      <c r="B55">
        <f>B52-B53+B54</f>
        <v>2143.2564812597266</v>
      </c>
      <c r="K55">
        <v>67.95</v>
      </c>
    </row>
    <row r="56" spans="1:13" x14ac:dyDescent="0.25">
      <c r="A56" t="s">
        <v>115</v>
      </c>
      <c r="B56">
        <f>ShareOutstanding</f>
        <v>15.02</v>
      </c>
      <c r="G56" s="43" t="str">
        <f>IF((VALUATION_ENGINE!B57-CurrentStockPrice)/CurrentStockPrice&lt;-0.1,"⚠  OVERVALUED — Current price $"&amp;CurrentStockPrice&amp;" exceeds fair value by "&amp;TEXT(ABS((CurrentStockPrice-VALUATION_ENGINE!B57)/VALUATION_ENGINE!B57),"0.0%")&amp;". Exercise caution.",IF((VALUATION_ENGINE!B57-CurrentStockPrice)/CurrentStockPrice&gt;0.1,"✓  UNDERVALUED — Stock trading below fair value by "&amp;TEXT(ABS((CurrentStockPrice-VALUATION_ENGINE!B57)/VALUATION_ENGINE!B57),"0.0%")&amp;". Strong opportunity.","◈  FAIRLY VALUED — Stock trading within 10% of fair value."))</f>
        <v>⚠  OVERVALUED — Current price $210 exceeds fair value by 47.2%. Exercise caution.</v>
      </c>
    </row>
    <row r="57" spans="1:13" x14ac:dyDescent="0.25">
      <c r="A57" t="s">
        <v>149</v>
      </c>
      <c r="B57">
        <f>(B55/B56)</f>
        <v>142.69350740743852</v>
      </c>
    </row>
    <row r="58" spans="1:13" x14ac:dyDescent="0.25">
      <c r="G58" s="21"/>
    </row>
    <row r="60" spans="1:13" x14ac:dyDescent="0.25">
      <c r="A60" s="20" t="s">
        <v>150</v>
      </c>
      <c r="I60" s="24" t="s">
        <v>166</v>
      </c>
      <c r="J60" s="24" t="s">
        <v>167</v>
      </c>
      <c r="K60" s="24" t="s">
        <v>168</v>
      </c>
      <c r="L60" s="24" t="s">
        <v>169</v>
      </c>
      <c r="M60" s="24" t="s">
        <v>170</v>
      </c>
    </row>
    <row r="61" spans="1:13" x14ac:dyDescent="0.25">
      <c r="A61" t="s">
        <v>151</v>
      </c>
      <c r="B61">
        <v>1000</v>
      </c>
      <c r="I61" cm="1">
        <f t="array" ref="I61:I1060">_xlfn.SEQUENCE(1000)</f>
        <v>1</v>
      </c>
      <c r="J61">
        <f ca="1">_xlfn.NORM.INV(RAND(),0.085,0.03)</f>
        <v>8.2506809013821805E-2</v>
      </c>
      <c r="K61">
        <f ca="1">_xlfn.NORM.INV(RAND(),0.435,0.03)</f>
        <v>0.47215768504845784</v>
      </c>
      <c r="L61">
        <f ca="1">_xlfn.NORM.INV(RAND(),0.1106,0.01)</f>
        <v>0.1265329440961902</v>
      </c>
      <c r="M61">
        <f ca="1">((416.161*(1+J61)^5*K61*(1-(1+L61)^-5)/L61)+(416.161*(1+J61)^5*K61*(1+0.025)/(L61-0.025)*(1+L61)^-5)-78.328+54.697)/15.02</f>
        <v>175.60603876073591</v>
      </c>
    </row>
    <row r="62" spans="1:13" x14ac:dyDescent="0.25">
      <c r="A62" t="s">
        <v>152</v>
      </c>
      <c r="B62">
        <f ca="1">MIN(M61:M1060)</f>
        <v>98.351111904640192</v>
      </c>
      <c r="I62">
        <v>2</v>
      </c>
      <c r="J62">
        <f t="shared" ref="J62:J125" ca="1" si="2">_xlfn.NORM.INV(RAND(),0.085,0.03)</f>
        <v>7.5630788263807328E-2</v>
      </c>
      <c r="K62">
        <f t="shared" ref="K62:K125" ca="1" si="3">_xlfn.NORM.INV(RAND(),0.435,0.03)</f>
        <v>0.47775973073109507</v>
      </c>
      <c r="L62">
        <f t="shared" ref="L62:L125" ca="1" si="4">_xlfn.NORM.INV(RAND(),0.1106,0.01)</f>
        <v>0.11013326143107179</v>
      </c>
      <c r="M62">
        <f t="shared" ref="M62:M125" ca="1" si="5">((416.161*(1+J62)^5*K62*(1-(1+L62)^-5)/L62)+(416.161*(1+J62)^5*K62*(1+0.025)/(L62-0.025)*(1+L62)^-5)-78.328+54.697)/15.02</f>
        <v>204.94845702371549</v>
      </c>
    </row>
    <row r="63" spans="1:13" x14ac:dyDescent="0.25">
      <c r="A63" t="s">
        <v>153</v>
      </c>
      <c r="B63">
        <f ca="1">MAX((M61:M1060))</f>
        <v>347.26474358103951</v>
      </c>
      <c r="I63">
        <v>3</v>
      </c>
      <c r="J63">
        <f t="shared" ca="1" si="2"/>
        <v>6.5631403689003776E-2</v>
      </c>
      <c r="K63">
        <f t="shared" ca="1" si="3"/>
        <v>0.47262304829017771</v>
      </c>
      <c r="L63">
        <f t="shared" ca="1" si="4"/>
        <v>9.4290821176876649E-2</v>
      </c>
      <c r="M63">
        <f t="shared" ca="1" si="5"/>
        <v>237.28595769095</v>
      </c>
    </row>
    <row r="64" spans="1:13" x14ac:dyDescent="0.25">
      <c r="A64" t="s">
        <v>154</v>
      </c>
      <c r="B64">
        <f ca="1">AVERAGE((M61:M1060))</f>
        <v>197.11368254765563</v>
      </c>
      <c r="I64">
        <v>4</v>
      </c>
      <c r="J64">
        <f t="shared" ca="1" si="2"/>
        <v>6.1450363863703783E-2</v>
      </c>
      <c r="K64">
        <f t="shared" ca="1" si="3"/>
        <v>0.38318924671820209</v>
      </c>
      <c r="L64">
        <f t="shared" ca="1" si="4"/>
        <v>0.1090865880300628</v>
      </c>
      <c r="M64">
        <f t="shared" ca="1" si="5"/>
        <v>155.33384751404617</v>
      </c>
    </row>
    <row r="65" spans="1:13" x14ac:dyDescent="0.25">
      <c r="A65" t="s">
        <v>155</v>
      </c>
      <c r="B65">
        <f ca="1">STDEV(M61:M1060)</f>
        <v>37.580502748867204</v>
      </c>
      <c r="I65">
        <v>5</v>
      </c>
      <c r="J65">
        <f t="shared" ca="1" si="2"/>
        <v>0.11987405134814844</v>
      </c>
      <c r="K65">
        <f t="shared" ca="1" si="3"/>
        <v>0.41354916323588425</v>
      </c>
      <c r="L65">
        <f t="shared" ca="1" si="4"/>
        <v>0.11114139434547221</v>
      </c>
      <c r="M65">
        <f t="shared" ca="1" si="5"/>
        <v>214.58852170969274</v>
      </c>
    </row>
    <row r="66" spans="1:13" x14ac:dyDescent="0.25">
      <c r="A66" t="s">
        <v>156</v>
      </c>
      <c r="B66">
        <f ca="1">COUNTIF(M61:M1060,"&gt;"&amp;CurrentStockPrice)/B61</f>
        <v>0.33900000000000002</v>
      </c>
      <c r="I66">
        <v>6</v>
      </c>
      <c r="J66">
        <f t="shared" ca="1" si="2"/>
        <v>0.13327088068877457</v>
      </c>
      <c r="K66">
        <f t="shared" ca="1" si="3"/>
        <v>0.44045562972835384</v>
      </c>
      <c r="L66">
        <f t="shared" ca="1" si="4"/>
        <v>8.5326157962392596E-2</v>
      </c>
      <c r="M66">
        <f t="shared" ca="1" si="5"/>
        <v>345.62633173184008</v>
      </c>
    </row>
    <row r="67" spans="1:13" x14ac:dyDescent="0.25">
      <c r="I67">
        <v>7</v>
      </c>
      <c r="J67">
        <f t="shared" ca="1" si="2"/>
        <v>0.10151089307140196</v>
      </c>
      <c r="K67">
        <f t="shared" ca="1" si="3"/>
        <v>0.40894886006214509</v>
      </c>
      <c r="L67">
        <f t="shared" ca="1" si="4"/>
        <v>0.1023099461393929</v>
      </c>
      <c r="M67">
        <f t="shared" ca="1" si="5"/>
        <v>217.35326880792391</v>
      </c>
    </row>
    <row r="68" spans="1:13" x14ac:dyDescent="0.25">
      <c r="I68">
        <v>8</v>
      </c>
      <c r="J68">
        <f t="shared" ca="1" si="2"/>
        <v>7.8855939433363401E-2</v>
      </c>
      <c r="K68">
        <f t="shared" ca="1" si="3"/>
        <v>0.42553376321913922</v>
      </c>
      <c r="L68">
        <f t="shared" ca="1" si="4"/>
        <v>9.8756045321917646E-2</v>
      </c>
      <c r="M68">
        <f t="shared" ca="1" si="5"/>
        <v>213.5005228589196</v>
      </c>
    </row>
    <row r="69" spans="1:13" x14ac:dyDescent="0.25">
      <c r="I69">
        <v>9</v>
      </c>
      <c r="J69">
        <f t="shared" ca="1" si="2"/>
        <v>0.14516935586612878</v>
      </c>
      <c r="K69">
        <f t="shared" ca="1" si="3"/>
        <v>0.42395858164993938</v>
      </c>
      <c r="L69">
        <f t="shared" ca="1" si="4"/>
        <v>0.11483321295579448</v>
      </c>
      <c r="M69">
        <f t="shared" ca="1" si="5"/>
        <v>236.18605638609873</v>
      </c>
    </row>
    <row r="70" spans="1:13" x14ac:dyDescent="0.25">
      <c r="I70">
        <v>10</v>
      </c>
      <c r="J70">
        <f t="shared" ca="1" si="2"/>
        <v>0.12371745641640418</v>
      </c>
      <c r="K70">
        <f t="shared" ca="1" si="3"/>
        <v>0.42455773205515912</v>
      </c>
      <c r="L70">
        <f t="shared" ca="1" si="4"/>
        <v>0.11947593405132378</v>
      </c>
      <c r="M70">
        <f t="shared" ca="1" si="5"/>
        <v>204.56387859145116</v>
      </c>
    </row>
    <row r="71" spans="1:13" x14ac:dyDescent="0.25">
      <c r="I71">
        <v>11</v>
      </c>
      <c r="J71">
        <f t="shared" ca="1" si="2"/>
        <v>8.3871052704095672E-2</v>
      </c>
      <c r="K71">
        <f t="shared" ca="1" si="3"/>
        <v>0.42384684101455472</v>
      </c>
      <c r="L71">
        <f t="shared" ca="1" si="4"/>
        <v>0.10958534853725933</v>
      </c>
      <c r="M71">
        <f t="shared" ca="1" si="5"/>
        <v>189.98394037118155</v>
      </c>
    </row>
    <row r="72" spans="1:13" x14ac:dyDescent="0.25">
      <c r="I72">
        <v>12</v>
      </c>
      <c r="J72">
        <f t="shared" ca="1" si="2"/>
        <v>9.2111433820050589E-2</v>
      </c>
      <c r="K72">
        <f t="shared" ca="1" si="3"/>
        <v>0.41620505732263002</v>
      </c>
      <c r="L72">
        <f t="shared" ca="1" si="4"/>
        <v>0.10428909767549972</v>
      </c>
      <c r="M72">
        <f t="shared" ca="1" si="5"/>
        <v>206.63962630643888</v>
      </c>
    </row>
    <row r="73" spans="1:13" x14ac:dyDescent="0.25">
      <c r="I73">
        <v>13</v>
      </c>
      <c r="J73">
        <f t="shared" ca="1" si="2"/>
        <v>8.517547370182614E-2</v>
      </c>
      <c r="K73">
        <f t="shared" ca="1" si="3"/>
        <v>0.41237915856494001</v>
      </c>
      <c r="L73">
        <f t="shared" ca="1" si="4"/>
        <v>9.7087315767638863E-2</v>
      </c>
      <c r="M73">
        <f t="shared" ca="1" si="5"/>
        <v>217.92719042339817</v>
      </c>
    </row>
    <row r="74" spans="1:13" x14ac:dyDescent="0.25">
      <c r="I74">
        <v>14</v>
      </c>
      <c r="J74">
        <f t="shared" ca="1" si="2"/>
        <v>8.823100844514864E-2</v>
      </c>
      <c r="K74">
        <f t="shared" ca="1" si="3"/>
        <v>0.423927086703619</v>
      </c>
      <c r="L74">
        <f t="shared" ca="1" si="4"/>
        <v>0.10124851376601074</v>
      </c>
      <c r="M74">
        <f t="shared" ca="1" si="5"/>
        <v>214.94809115927734</v>
      </c>
    </row>
    <row r="75" spans="1:13" x14ac:dyDescent="0.25">
      <c r="I75">
        <v>15</v>
      </c>
      <c r="J75">
        <f t="shared" ca="1" si="2"/>
        <v>0.11573886171309657</v>
      </c>
      <c r="K75">
        <f t="shared" ca="1" si="3"/>
        <v>0.43572390239587172</v>
      </c>
      <c r="L75">
        <f t="shared" ca="1" si="4"/>
        <v>0.11244592447838234</v>
      </c>
      <c r="M75">
        <f t="shared" ca="1" si="5"/>
        <v>218.72111427317759</v>
      </c>
    </row>
    <row r="76" spans="1:13" x14ac:dyDescent="0.25">
      <c r="I76">
        <v>16</v>
      </c>
      <c r="J76">
        <f t="shared" ca="1" si="2"/>
        <v>9.3690091466942765E-2</v>
      </c>
      <c r="K76">
        <f t="shared" ca="1" si="3"/>
        <v>0.40806129983237799</v>
      </c>
      <c r="L76">
        <f t="shared" ca="1" si="4"/>
        <v>0.102896130427908</v>
      </c>
      <c r="M76">
        <f t="shared" ca="1" si="5"/>
        <v>207.6686417567818</v>
      </c>
    </row>
    <row r="77" spans="1:13" x14ac:dyDescent="0.25">
      <c r="I77">
        <v>17</v>
      </c>
      <c r="J77">
        <f t="shared" ca="1" si="2"/>
        <v>4.4836036269083432E-2</v>
      </c>
      <c r="K77">
        <f t="shared" ca="1" si="3"/>
        <v>0.48544807568542747</v>
      </c>
      <c r="L77">
        <f t="shared" ca="1" si="4"/>
        <v>0.10484194183724571</v>
      </c>
      <c r="M77">
        <f t="shared" ca="1" si="5"/>
        <v>191.74609465829721</v>
      </c>
    </row>
    <row r="78" spans="1:13" x14ac:dyDescent="0.25">
      <c r="I78">
        <v>18</v>
      </c>
      <c r="J78">
        <f t="shared" ca="1" si="2"/>
        <v>7.7370467183021555E-2</v>
      </c>
      <c r="K78">
        <f t="shared" ca="1" si="3"/>
        <v>0.43739650401036184</v>
      </c>
      <c r="L78">
        <f t="shared" ca="1" si="4"/>
        <v>0.10078232027195645</v>
      </c>
      <c r="M78">
        <f t="shared" ca="1" si="5"/>
        <v>212.18879881326347</v>
      </c>
    </row>
    <row r="79" spans="1:13" x14ac:dyDescent="0.25">
      <c r="I79">
        <v>19</v>
      </c>
      <c r="J79">
        <f t="shared" ca="1" si="2"/>
        <v>8.2236995362262533E-2</v>
      </c>
      <c r="K79">
        <f t="shared" ca="1" si="3"/>
        <v>0.42944276780416107</v>
      </c>
      <c r="L79">
        <f t="shared" ca="1" si="4"/>
        <v>0.10938882335124178</v>
      </c>
      <c r="M79">
        <f t="shared" ca="1" si="5"/>
        <v>191.49615294046353</v>
      </c>
    </row>
    <row r="80" spans="1:13" x14ac:dyDescent="0.25">
      <c r="I80">
        <v>20</v>
      </c>
      <c r="J80">
        <f t="shared" ca="1" si="2"/>
        <v>4.2936855977276416E-2</v>
      </c>
      <c r="K80">
        <f t="shared" ca="1" si="3"/>
        <v>0.43688254760753176</v>
      </c>
      <c r="L80">
        <f t="shared" ca="1" si="4"/>
        <v>0.12243304927591472</v>
      </c>
      <c r="M80">
        <f t="shared" ca="1" si="5"/>
        <v>140.14472738293566</v>
      </c>
    </row>
    <row r="81" spans="9:13" x14ac:dyDescent="0.25">
      <c r="I81">
        <v>21</v>
      </c>
      <c r="J81">
        <f t="shared" ca="1" si="2"/>
        <v>4.3409610299617013E-2</v>
      </c>
      <c r="K81">
        <f t="shared" ca="1" si="3"/>
        <v>0.4465332106725679</v>
      </c>
      <c r="L81">
        <f t="shared" ca="1" si="4"/>
        <v>9.3858529645790181E-2</v>
      </c>
      <c r="M81">
        <f t="shared" ca="1" si="5"/>
        <v>202.78969335094521</v>
      </c>
    </row>
    <row r="82" spans="9:13" x14ac:dyDescent="0.25">
      <c r="I82">
        <v>22</v>
      </c>
      <c r="J82">
        <f t="shared" ca="1" si="2"/>
        <v>0.10592983231862381</v>
      </c>
      <c r="K82">
        <f t="shared" ca="1" si="3"/>
        <v>0.48381352059167859</v>
      </c>
      <c r="L82">
        <f t="shared" ca="1" si="4"/>
        <v>0.12972390007156595</v>
      </c>
      <c r="M82">
        <f t="shared" ca="1" si="5"/>
        <v>194.43874175031124</v>
      </c>
    </row>
    <row r="83" spans="9:13" x14ac:dyDescent="0.25">
      <c r="I83">
        <v>23</v>
      </c>
      <c r="J83">
        <f t="shared" ca="1" si="2"/>
        <v>8.1625393681473563E-2</v>
      </c>
      <c r="K83">
        <f t="shared" ca="1" si="3"/>
        <v>0.3988218124368948</v>
      </c>
      <c r="L83">
        <f t="shared" ca="1" si="4"/>
        <v>0.11124727081879224</v>
      </c>
      <c r="M83">
        <f t="shared" ca="1" si="5"/>
        <v>173.42908483046298</v>
      </c>
    </row>
    <row r="84" spans="9:13" x14ac:dyDescent="0.25">
      <c r="I84">
        <v>24</v>
      </c>
      <c r="J84">
        <f t="shared" ca="1" si="2"/>
        <v>0.1027306353638465</v>
      </c>
      <c r="K84">
        <f t="shared" ca="1" si="3"/>
        <v>0.41106572087275689</v>
      </c>
      <c r="L84">
        <f t="shared" ca="1" si="4"/>
        <v>0.12596896087494563</v>
      </c>
      <c r="M84">
        <f t="shared" ca="1" si="5"/>
        <v>168.56768564185379</v>
      </c>
    </row>
    <row r="85" spans="9:13" x14ac:dyDescent="0.25">
      <c r="I85">
        <v>25</v>
      </c>
      <c r="J85">
        <f t="shared" ca="1" si="2"/>
        <v>7.0491142130937531E-2</v>
      </c>
      <c r="K85">
        <f t="shared" ca="1" si="3"/>
        <v>0.44621713341254665</v>
      </c>
      <c r="L85">
        <f t="shared" ca="1" si="4"/>
        <v>0.1142302876629526</v>
      </c>
      <c r="M85">
        <f t="shared" ca="1" si="5"/>
        <v>178.23330250349477</v>
      </c>
    </row>
    <row r="86" spans="9:13" x14ac:dyDescent="0.25">
      <c r="I86">
        <v>26</v>
      </c>
      <c r="J86">
        <f t="shared" ca="1" si="2"/>
        <v>4.3610758849911217E-2</v>
      </c>
      <c r="K86">
        <f t="shared" ca="1" si="3"/>
        <v>0.46681053210326834</v>
      </c>
      <c r="L86">
        <f t="shared" ca="1" si="4"/>
        <v>0.10557038548335151</v>
      </c>
      <c r="M86">
        <f t="shared" ca="1" si="5"/>
        <v>181.59013151272276</v>
      </c>
    </row>
    <row r="87" spans="9:13" x14ac:dyDescent="0.25">
      <c r="I87">
        <v>27</v>
      </c>
      <c r="J87">
        <f t="shared" ca="1" si="2"/>
        <v>7.1256811306325399E-2</v>
      </c>
      <c r="K87">
        <f t="shared" ca="1" si="3"/>
        <v>0.40129539881676091</v>
      </c>
      <c r="L87">
        <f t="shared" ca="1" si="4"/>
        <v>0.13323306336690022</v>
      </c>
      <c r="M87">
        <f t="shared" ca="1" si="5"/>
        <v>132.6530998765291</v>
      </c>
    </row>
    <row r="88" spans="9:13" x14ac:dyDescent="0.25">
      <c r="I88">
        <v>28</v>
      </c>
      <c r="J88">
        <f t="shared" ca="1" si="2"/>
        <v>1.9203306701331635E-2</v>
      </c>
      <c r="K88">
        <f t="shared" ca="1" si="3"/>
        <v>0.38620161401582931</v>
      </c>
      <c r="L88">
        <f t="shared" ca="1" si="4"/>
        <v>0.10610501155691052</v>
      </c>
      <c r="M88">
        <f t="shared" ca="1" si="5"/>
        <v>132.1766626593527</v>
      </c>
    </row>
    <row r="89" spans="9:13" x14ac:dyDescent="0.25">
      <c r="I89">
        <v>29</v>
      </c>
      <c r="J89">
        <f t="shared" ca="1" si="2"/>
        <v>0.12316127190766017</v>
      </c>
      <c r="K89">
        <f t="shared" ca="1" si="3"/>
        <v>0.46433387261049464</v>
      </c>
      <c r="L89">
        <f t="shared" ca="1" si="4"/>
        <v>0.10386601616164837</v>
      </c>
      <c r="M89">
        <f t="shared" ca="1" si="5"/>
        <v>267.0826029280438</v>
      </c>
    </row>
    <row r="90" spans="9:13" x14ac:dyDescent="0.25">
      <c r="I90">
        <v>30</v>
      </c>
      <c r="J90">
        <f t="shared" ca="1" si="2"/>
        <v>9.1352128643313171E-2</v>
      </c>
      <c r="K90">
        <f t="shared" ca="1" si="3"/>
        <v>0.36353760979577615</v>
      </c>
      <c r="L90">
        <f t="shared" ca="1" si="4"/>
        <v>0.12201554097579922</v>
      </c>
      <c r="M90">
        <f t="shared" ca="1" si="5"/>
        <v>147.01274766904626</v>
      </c>
    </row>
    <row r="91" spans="9:13" x14ac:dyDescent="0.25">
      <c r="I91">
        <v>31</v>
      </c>
      <c r="J91">
        <f t="shared" ca="1" si="2"/>
        <v>6.7792247743676481E-2</v>
      </c>
      <c r="K91">
        <f t="shared" ca="1" si="3"/>
        <v>0.43136079719649145</v>
      </c>
      <c r="L91">
        <f t="shared" ca="1" si="4"/>
        <v>0.10484824748024379</v>
      </c>
      <c r="M91">
        <f t="shared" ca="1" si="5"/>
        <v>189.91075770128529</v>
      </c>
    </row>
    <row r="92" spans="9:13" x14ac:dyDescent="0.25">
      <c r="I92">
        <v>32</v>
      </c>
      <c r="J92">
        <f t="shared" ca="1" si="2"/>
        <v>4.426559427859484E-2</v>
      </c>
      <c r="K92">
        <f t="shared" ca="1" si="3"/>
        <v>0.4867264597252895</v>
      </c>
      <c r="L92">
        <f t="shared" ca="1" si="4"/>
        <v>0.11208125146516329</v>
      </c>
      <c r="M92">
        <f t="shared" ca="1" si="5"/>
        <v>175.88888252555537</v>
      </c>
    </row>
    <row r="93" spans="9:13" x14ac:dyDescent="0.25">
      <c r="I93">
        <v>33</v>
      </c>
      <c r="J93">
        <f t="shared" ca="1" si="2"/>
        <v>0.13024863465599737</v>
      </c>
      <c r="K93">
        <f t="shared" ca="1" si="3"/>
        <v>0.47125155169429273</v>
      </c>
      <c r="L93">
        <f t="shared" ca="1" si="4"/>
        <v>9.875134060523226E-2</v>
      </c>
      <c r="M93">
        <f t="shared" ca="1" si="5"/>
        <v>299.02485954300312</v>
      </c>
    </row>
    <row r="94" spans="9:13" x14ac:dyDescent="0.25">
      <c r="I94">
        <v>34</v>
      </c>
      <c r="J94">
        <f t="shared" ca="1" si="2"/>
        <v>0.10261234103184223</v>
      </c>
      <c r="K94">
        <f t="shared" ca="1" si="3"/>
        <v>0.44551862824415117</v>
      </c>
      <c r="L94">
        <f t="shared" ca="1" si="4"/>
        <v>0.11154540028604708</v>
      </c>
      <c r="M94">
        <f t="shared" ca="1" si="5"/>
        <v>212.90595838976682</v>
      </c>
    </row>
    <row r="95" spans="9:13" x14ac:dyDescent="0.25">
      <c r="I95">
        <v>35</v>
      </c>
      <c r="J95">
        <f t="shared" ca="1" si="2"/>
        <v>7.7833845782760605E-2</v>
      </c>
      <c r="K95">
        <f t="shared" ca="1" si="3"/>
        <v>0.45941803960558092</v>
      </c>
      <c r="L95">
        <f t="shared" ca="1" si="4"/>
        <v>9.9661587759841741E-2</v>
      </c>
      <c r="M95">
        <f t="shared" ca="1" si="5"/>
        <v>226.76421188841738</v>
      </c>
    </row>
    <row r="96" spans="9:13" x14ac:dyDescent="0.25">
      <c r="I96">
        <v>36</v>
      </c>
      <c r="J96">
        <f t="shared" ca="1" si="2"/>
        <v>7.4616797937196278E-2</v>
      </c>
      <c r="K96">
        <f t="shared" ca="1" si="3"/>
        <v>0.43780566084243761</v>
      </c>
      <c r="L96">
        <f t="shared" ca="1" si="4"/>
        <v>0.10699262213424288</v>
      </c>
      <c r="M96">
        <f t="shared" ca="1" si="5"/>
        <v>193.89123549171094</v>
      </c>
    </row>
    <row r="97" spans="9:13" x14ac:dyDescent="0.25">
      <c r="I97">
        <v>37</v>
      </c>
      <c r="J97">
        <f t="shared" ca="1" si="2"/>
        <v>7.1308818130597085E-2</v>
      </c>
      <c r="K97">
        <f t="shared" ca="1" si="3"/>
        <v>0.46915041183635697</v>
      </c>
      <c r="L97">
        <f t="shared" ca="1" si="4"/>
        <v>0.10769647228185933</v>
      </c>
      <c r="M97">
        <f t="shared" ca="1" si="5"/>
        <v>202.95206855525785</v>
      </c>
    </row>
    <row r="98" spans="9:13" x14ac:dyDescent="0.25">
      <c r="I98">
        <v>38</v>
      </c>
      <c r="J98">
        <f t="shared" ca="1" si="2"/>
        <v>7.8832529647282226E-2</v>
      </c>
      <c r="K98">
        <f t="shared" ca="1" si="3"/>
        <v>0.46892576894214311</v>
      </c>
      <c r="L98">
        <f t="shared" ca="1" si="4"/>
        <v>0.1057192225987769</v>
      </c>
      <c r="M98">
        <f t="shared" ca="1" si="5"/>
        <v>215.24199508093275</v>
      </c>
    </row>
    <row r="99" spans="9:13" x14ac:dyDescent="0.25">
      <c r="I99">
        <v>39</v>
      </c>
      <c r="J99">
        <f t="shared" ca="1" si="2"/>
        <v>8.2784102952023292E-2</v>
      </c>
      <c r="K99">
        <f t="shared" ca="1" si="3"/>
        <v>0.48313814609349381</v>
      </c>
      <c r="L99">
        <f t="shared" ca="1" si="4"/>
        <v>0.11062260132534947</v>
      </c>
      <c r="M99">
        <f t="shared" ca="1" si="5"/>
        <v>213.09592190563293</v>
      </c>
    </row>
    <row r="100" spans="9:13" x14ac:dyDescent="0.25">
      <c r="I100">
        <v>40</v>
      </c>
      <c r="J100">
        <f t="shared" ca="1" si="2"/>
        <v>0.10357526183383002</v>
      </c>
      <c r="K100">
        <f t="shared" ca="1" si="3"/>
        <v>0.44183343637961525</v>
      </c>
      <c r="L100">
        <f t="shared" ca="1" si="4"/>
        <v>0.12713751427090367</v>
      </c>
      <c r="M100">
        <f t="shared" ca="1" si="5"/>
        <v>179.93948304882505</v>
      </c>
    </row>
    <row r="101" spans="9:13" x14ac:dyDescent="0.25">
      <c r="I101">
        <v>41</v>
      </c>
      <c r="J101">
        <f t="shared" ca="1" si="2"/>
        <v>5.7833567623334275E-2</v>
      </c>
      <c r="K101">
        <f t="shared" ca="1" si="3"/>
        <v>0.44174919833674609</v>
      </c>
      <c r="L101">
        <f t="shared" ca="1" si="4"/>
        <v>0.11154811154794385</v>
      </c>
      <c r="M101">
        <f t="shared" ca="1" si="5"/>
        <v>171.27068912878786</v>
      </c>
    </row>
    <row r="102" spans="9:13" x14ac:dyDescent="0.25">
      <c r="I102">
        <v>42</v>
      </c>
      <c r="J102">
        <f t="shared" ca="1" si="2"/>
        <v>0.11254146563780447</v>
      </c>
      <c r="K102">
        <f t="shared" ca="1" si="3"/>
        <v>0.46669479311263301</v>
      </c>
      <c r="L102">
        <f t="shared" ca="1" si="4"/>
        <v>0.12299011077846844</v>
      </c>
      <c r="M102">
        <f t="shared" ca="1" si="5"/>
        <v>206.37234189180069</v>
      </c>
    </row>
    <row r="103" spans="9:13" x14ac:dyDescent="0.25">
      <c r="I103">
        <v>43</v>
      </c>
      <c r="J103">
        <f t="shared" ca="1" si="2"/>
        <v>0.10265478816729907</v>
      </c>
      <c r="K103">
        <f t="shared" ca="1" si="3"/>
        <v>0.46334238752341811</v>
      </c>
      <c r="L103">
        <f t="shared" ca="1" si="4"/>
        <v>0.10167165250993158</v>
      </c>
      <c r="M103">
        <f t="shared" ca="1" si="5"/>
        <v>249.80896828418881</v>
      </c>
    </row>
    <row r="104" spans="9:13" x14ac:dyDescent="0.25">
      <c r="I104">
        <v>44</v>
      </c>
      <c r="J104">
        <f t="shared" ca="1" si="2"/>
        <v>6.5881303479576908E-2</v>
      </c>
      <c r="K104">
        <f t="shared" ca="1" si="3"/>
        <v>0.46138913128782966</v>
      </c>
      <c r="L104">
        <f t="shared" ca="1" si="4"/>
        <v>0.12473225478672499</v>
      </c>
      <c r="M104">
        <f t="shared" ca="1" si="5"/>
        <v>161.51512771526038</v>
      </c>
    </row>
    <row r="105" spans="9:13" x14ac:dyDescent="0.25">
      <c r="I105">
        <v>45</v>
      </c>
      <c r="J105">
        <f t="shared" ca="1" si="2"/>
        <v>8.759558819704677E-2</v>
      </c>
      <c r="K105">
        <f t="shared" ca="1" si="3"/>
        <v>0.40836578436377496</v>
      </c>
      <c r="L105">
        <f t="shared" ca="1" si="4"/>
        <v>0.11525022118021022</v>
      </c>
      <c r="M105">
        <f t="shared" ca="1" si="5"/>
        <v>174.57266574983475</v>
      </c>
    </row>
    <row r="106" spans="9:13" x14ac:dyDescent="0.25">
      <c r="I106">
        <v>46</v>
      </c>
      <c r="J106">
        <f t="shared" ca="1" si="2"/>
        <v>1.0193657480041696E-2</v>
      </c>
      <c r="K106">
        <f t="shared" ca="1" si="3"/>
        <v>0.42094889442357497</v>
      </c>
      <c r="L106">
        <f t="shared" ca="1" si="4"/>
        <v>0.1235421313024731</v>
      </c>
      <c r="M106">
        <f t="shared" ca="1" si="5"/>
        <v>113.55701431853973</v>
      </c>
    </row>
    <row r="107" spans="9:13" x14ac:dyDescent="0.25">
      <c r="I107">
        <v>47</v>
      </c>
      <c r="J107">
        <f t="shared" ca="1" si="2"/>
        <v>6.4970776884739026E-2</v>
      </c>
      <c r="K107">
        <f t="shared" ca="1" si="3"/>
        <v>0.40558833480766004</v>
      </c>
      <c r="L107">
        <f t="shared" ca="1" si="4"/>
        <v>0.10721749738556009</v>
      </c>
      <c r="M107">
        <f t="shared" ca="1" si="5"/>
        <v>171.058431446344</v>
      </c>
    </row>
    <row r="108" spans="9:13" x14ac:dyDescent="0.25">
      <c r="I108">
        <v>48</v>
      </c>
      <c r="J108">
        <f t="shared" ca="1" si="2"/>
        <v>0.11265186168380741</v>
      </c>
      <c r="K108">
        <f t="shared" ca="1" si="3"/>
        <v>0.45006157132289681</v>
      </c>
      <c r="L108">
        <f t="shared" ca="1" si="4"/>
        <v>0.10806114489070019</v>
      </c>
      <c r="M108">
        <f t="shared" ca="1" si="5"/>
        <v>234.50052526239784</v>
      </c>
    </row>
    <row r="109" spans="9:13" x14ac:dyDescent="0.25">
      <c r="I109">
        <v>49</v>
      </c>
      <c r="J109">
        <f t="shared" ca="1" si="2"/>
        <v>0.10371317377840418</v>
      </c>
      <c r="K109">
        <f t="shared" ca="1" si="3"/>
        <v>0.40854459657221059</v>
      </c>
      <c r="L109">
        <f t="shared" ca="1" si="4"/>
        <v>0.12772342582546861</v>
      </c>
      <c r="M109">
        <f t="shared" ca="1" si="5"/>
        <v>165.42733164824301</v>
      </c>
    </row>
    <row r="110" spans="9:13" x14ac:dyDescent="0.25">
      <c r="I110">
        <v>50</v>
      </c>
      <c r="J110">
        <f t="shared" ca="1" si="2"/>
        <v>8.8439658421239048E-2</v>
      </c>
      <c r="K110">
        <f t="shared" ca="1" si="3"/>
        <v>0.43004524820209722</v>
      </c>
      <c r="L110">
        <f t="shared" ca="1" si="4"/>
        <v>0.1086495617962812</v>
      </c>
      <c r="M110">
        <f t="shared" ca="1" si="5"/>
        <v>199.10284455660383</v>
      </c>
    </row>
    <row r="111" spans="9:13" x14ac:dyDescent="0.25">
      <c r="I111">
        <v>51</v>
      </c>
      <c r="J111">
        <f t="shared" ca="1" si="2"/>
        <v>0.14991250778464851</v>
      </c>
      <c r="K111">
        <f t="shared" ca="1" si="3"/>
        <v>0.45864421546678741</v>
      </c>
      <c r="L111">
        <f t="shared" ca="1" si="4"/>
        <v>0.10117759955596967</v>
      </c>
      <c r="M111">
        <f t="shared" ca="1" si="5"/>
        <v>307.31571050284413</v>
      </c>
    </row>
    <row r="112" spans="9:13" x14ac:dyDescent="0.25">
      <c r="I112">
        <v>52</v>
      </c>
      <c r="J112">
        <f t="shared" ca="1" si="2"/>
        <v>0.11109761107085207</v>
      </c>
      <c r="K112">
        <f t="shared" ca="1" si="3"/>
        <v>0.42335209574426286</v>
      </c>
      <c r="L112">
        <f t="shared" ca="1" si="4"/>
        <v>0.13059432771236329</v>
      </c>
      <c r="M112">
        <f t="shared" ca="1" si="5"/>
        <v>172.56646286616123</v>
      </c>
    </row>
    <row r="113" spans="9:13" x14ac:dyDescent="0.25">
      <c r="I113">
        <v>53</v>
      </c>
      <c r="J113">
        <f t="shared" ca="1" si="2"/>
        <v>9.5498769833130687E-2</v>
      </c>
      <c r="K113">
        <f t="shared" ca="1" si="3"/>
        <v>0.45036338273735665</v>
      </c>
      <c r="L113">
        <f t="shared" ca="1" si="4"/>
        <v>0.10601288371616974</v>
      </c>
      <c r="M113">
        <f t="shared" ca="1" si="5"/>
        <v>222.44542556942358</v>
      </c>
    </row>
    <row r="114" spans="9:13" x14ac:dyDescent="0.25">
      <c r="I114">
        <v>54</v>
      </c>
      <c r="J114">
        <f t="shared" ca="1" si="2"/>
        <v>6.3361912146298063E-2</v>
      </c>
      <c r="K114">
        <f t="shared" ca="1" si="3"/>
        <v>0.44446100776760433</v>
      </c>
      <c r="L114">
        <f t="shared" ca="1" si="4"/>
        <v>0.11216361803057461</v>
      </c>
      <c r="M114">
        <f t="shared" ca="1" si="5"/>
        <v>175.68271000672411</v>
      </c>
    </row>
    <row r="115" spans="9:13" x14ac:dyDescent="0.25">
      <c r="I115">
        <v>55</v>
      </c>
      <c r="J115">
        <f t="shared" ca="1" si="2"/>
        <v>0.10719424450557132</v>
      </c>
      <c r="K115">
        <f t="shared" ca="1" si="3"/>
        <v>0.47614635886472628</v>
      </c>
      <c r="L115">
        <f t="shared" ca="1" si="4"/>
        <v>9.5521426356584338E-2</v>
      </c>
      <c r="M115">
        <f t="shared" ca="1" si="5"/>
        <v>284.78370134405168</v>
      </c>
    </row>
    <row r="116" spans="9:13" x14ac:dyDescent="0.25">
      <c r="I116">
        <v>56</v>
      </c>
      <c r="J116">
        <f t="shared" ca="1" si="2"/>
        <v>8.615047313544566E-3</v>
      </c>
      <c r="K116">
        <f t="shared" ca="1" si="3"/>
        <v>0.44415694753766527</v>
      </c>
      <c r="L116">
        <f t="shared" ca="1" si="4"/>
        <v>0.11338126999845499</v>
      </c>
      <c r="M116">
        <f t="shared" ca="1" si="5"/>
        <v>132.57786737528497</v>
      </c>
    </row>
    <row r="117" spans="9:13" x14ac:dyDescent="0.25">
      <c r="I117">
        <v>57</v>
      </c>
      <c r="J117">
        <f t="shared" ca="1" si="2"/>
        <v>0.10925016217823816</v>
      </c>
      <c r="K117">
        <f t="shared" ca="1" si="3"/>
        <v>0.46632964435177565</v>
      </c>
      <c r="L117">
        <f t="shared" ca="1" si="4"/>
        <v>0.11510823077569129</v>
      </c>
      <c r="M117">
        <f t="shared" ca="1" si="5"/>
        <v>220.75750908142524</v>
      </c>
    </row>
    <row r="118" spans="9:13" x14ac:dyDescent="0.25">
      <c r="I118">
        <v>58</v>
      </c>
      <c r="J118">
        <f t="shared" ca="1" si="2"/>
        <v>0.10523432121799668</v>
      </c>
      <c r="K118">
        <f t="shared" ca="1" si="3"/>
        <v>0.41656206881255009</v>
      </c>
      <c r="L118">
        <f t="shared" ca="1" si="4"/>
        <v>0.11486066258406666</v>
      </c>
      <c r="M118">
        <f t="shared" ca="1" si="5"/>
        <v>193.98963608432572</v>
      </c>
    </row>
    <row r="119" spans="9:13" x14ac:dyDescent="0.25">
      <c r="I119">
        <v>59</v>
      </c>
      <c r="J119">
        <f t="shared" ca="1" si="2"/>
        <v>0.10976626719118074</v>
      </c>
      <c r="K119">
        <f t="shared" ca="1" si="3"/>
        <v>0.41636638615377775</v>
      </c>
      <c r="L119">
        <f t="shared" ca="1" si="4"/>
        <v>0.12549276683332883</v>
      </c>
      <c r="M119">
        <f t="shared" ca="1" si="5"/>
        <v>177.15847552267465</v>
      </c>
    </row>
    <row r="120" spans="9:13" x14ac:dyDescent="0.25">
      <c r="I120">
        <v>60</v>
      </c>
      <c r="J120">
        <f t="shared" ca="1" si="2"/>
        <v>0.1388116231407294</v>
      </c>
      <c r="K120">
        <f t="shared" ca="1" si="3"/>
        <v>0.39872577142921695</v>
      </c>
      <c r="L120">
        <f t="shared" ca="1" si="4"/>
        <v>0.11456347852963204</v>
      </c>
      <c r="M120">
        <f t="shared" ca="1" si="5"/>
        <v>216.54126520927602</v>
      </c>
    </row>
    <row r="121" spans="9:13" x14ac:dyDescent="0.25">
      <c r="I121">
        <v>61</v>
      </c>
      <c r="J121">
        <f t="shared" ca="1" si="2"/>
        <v>8.5395569715304362E-2</v>
      </c>
      <c r="K121">
        <f t="shared" ca="1" si="3"/>
        <v>0.42610961717833168</v>
      </c>
      <c r="L121">
        <f t="shared" ca="1" si="4"/>
        <v>0.1112959155603044</v>
      </c>
      <c r="M121">
        <f t="shared" ca="1" si="5"/>
        <v>188.57880841983282</v>
      </c>
    </row>
    <row r="122" spans="9:13" x14ac:dyDescent="0.25">
      <c r="I122">
        <v>62</v>
      </c>
      <c r="J122">
        <f t="shared" ca="1" si="2"/>
        <v>5.5493506730655159E-2</v>
      </c>
      <c r="K122">
        <f t="shared" ca="1" si="3"/>
        <v>0.42184771318876185</v>
      </c>
      <c r="L122">
        <f t="shared" ca="1" si="4"/>
        <v>0.12729902406415955</v>
      </c>
      <c r="M122">
        <f t="shared" ca="1" si="5"/>
        <v>136.91019026889208</v>
      </c>
    </row>
    <row r="123" spans="9:13" x14ac:dyDescent="0.25">
      <c r="I123">
        <v>63</v>
      </c>
      <c r="J123">
        <f t="shared" ca="1" si="2"/>
        <v>0.10706578925731536</v>
      </c>
      <c r="K123">
        <f t="shared" ca="1" si="3"/>
        <v>0.3655312401009887</v>
      </c>
      <c r="L123">
        <f t="shared" ca="1" si="4"/>
        <v>0.10455459106630909</v>
      </c>
      <c r="M123">
        <f t="shared" ca="1" si="5"/>
        <v>193.51291163357379</v>
      </c>
    </row>
    <row r="124" spans="9:13" x14ac:dyDescent="0.25">
      <c r="I124">
        <v>64</v>
      </c>
      <c r="J124">
        <f t="shared" ca="1" si="2"/>
        <v>0.11071486131771167</v>
      </c>
      <c r="K124">
        <f t="shared" ca="1" si="3"/>
        <v>0.43257306735376844</v>
      </c>
      <c r="L124">
        <f t="shared" ca="1" si="4"/>
        <v>0.11728520738557606</v>
      </c>
      <c r="M124">
        <f t="shared" ca="1" si="5"/>
        <v>201.20888228162806</v>
      </c>
    </row>
    <row r="125" spans="9:13" x14ac:dyDescent="0.25">
      <c r="I125">
        <v>65</v>
      </c>
      <c r="J125">
        <f t="shared" ca="1" si="2"/>
        <v>7.4800548675219319E-2</v>
      </c>
      <c r="K125">
        <f t="shared" ca="1" si="3"/>
        <v>0.39045987289559098</v>
      </c>
      <c r="L125">
        <f t="shared" ca="1" si="4"/>
        <v>0.10059862004205995</v>
      </c>
      <c r="M125">
        <f t="shared" ca="1" si="5"/>
        <v>187.43682734037523</v>
      </c>
    </row>
    <row r="126" spans="9:13" x14ac:dyDescent="0.25">
      <c r="I126">
        <v>66</v>
      </c>
      <c r="J126">
        <f t="shared" ref="J126:J189" ca="1" si="6">_xlfn.NORM.INV(RAND(),0.085,0.03)</f>
        <v>7.9292536577912201E-2</v>
      </c>
      <c r="K126">
        <f t="shared" ref="K126:K189" ca="1" si="7">_xlfn.NORM.INV(RAND(),0.435,0.03)</f>
        <v>0.44068643822892756</v>
      </c>
      <c r="L126">
        <f t="shared" ref="L126:L189" ca="1" si="8">_xlfn.NORM.INV(RAND(),0.1106,0.01)</f>
        <v>9.0436298606117821E-2</v>
      </c>
      <c r="M126">
        <f t="shared" ref="M126:M189" ca="1" si="9">((416.161*(1+J126)^5*K126*(1-(1+L126)^-5)/L126)+(416.161*(1+J126)^5*K126*(1+0.025)/(L126-0.025)*(1+L126)^-5)-78.328+54.697)/15.02</f>
        <v>249.58857473359961</v>
      </c>
    </row>
    <row r="127" spans="9:13" x14ac:dyDescent="0.25">
      <c r="I127">
        <v>67</v>
      </c>
      <c r="J127">
        <f t="shared" ca="1" si="6"/>
        <v>8.7463281961061873E-2</v>
      </c>
      <c r="K127">
        <f t="shared" ca="1" si="7"/>
        <v>0.41675800995855344</v>
      </c>
      <c r="L127">
        <f t="shared" ca="1" si="8"/>
        <v>0.11726343165842172</v>
      </c>
      <c r="M127">
        <f t="shared" ca="1" si="9"/>
        <v>174.22521535494724</v>
      </c>
    </row>
    <row r="128" spans="9:13" x14ac:dyDescent="0.25">
      <c r="I128">
        <v>68</v>
      </c>
      <c r="J128">
        <f t="shared" ca="1" si="6"/>
        <v>9.460192278043883E-2</v>
      </c>
      <c r="K128">
        <f t="shared" ca="1" si="7"/>
        <v>0.44169614244760524</v>
      </c>
      <c r="L128">
        <f t="shared" ca="1" si="8"/>
        <v>0.13318536891438953</v>
      </c>
      <c r="M128">
        <f t="shared" ca="1" si="9"/>
        <v>163.05269919487489</v>
      </c>
    </row>
    <row r="129" spans="9:13" x14ac:dyDescent="0.25">
      <c r="I129">
        <v>69</v>
      </c>
      <c r="J129">
        <f t="shared" ca="1" si="6"/>
        <v>3.7150332457184312E-2</v>
      </c>
      <c r="K129">
        <f t="shared" ca="1" si="7"/>
        <v>0.42433197991816651</v>
      </c>
      <c r="L129">
        <f t="shared" ca="1" si="8"/>
        <v>0.1145426560687435</v>
      </c>
      <c r="M129">
        <f t="shared" ca="1" si="9"/>
        <v>143.8937410922874</v>
      </c>
    </row>
    <row r="130" spans="9:13" x14ac:dyDescent="0.25">
      <c r="I130">
        <v>70</v>
      </c>
      <c r="J130">
        <f t="shared" ca="1" si="6"/>
        <v>4.4663968400364788E-2</v>
      </c>
      <c r="K130">
        <f t="shared" ca="1" si="7"/>
        <v>0.38833441140171432</v>
      </c>
      <c r="L130">
        <f t="shared" ca="1" si="8"/>
        <v>0.10304050847285698</v>
      </c>
      <c r="M130">
        <f t="shared" ca="1" si="9"/>
        <v>156.45986783340339</v>
      </c>
    </row>
    <row r="131" spans="9:13" x14ac:dyDescent="0.25">
      <c r="I131">
        <v>71</v>
      </c>
      <c r="J131">
        <f t="shared" ca="1" si="6"/>
        <v>4.5690338467116079E-2</v>
      </c>
      <c r="K131">
        <f t="shared" ca="1" si="7"/>
        <v>0.4296904318446757</v>
      </c>
      <c r="L131">
        <f t="shared" ca="1" si="8"/>
        <v>9.8139961413515303E-2</v>
      </c>
      <c r="M131">
        <f t="shared" ca="1" si="9"/>
        <v>185.75360689838305</v>
      </c>
    </row>
    <row r="132" spans="9:13" x14ac:dyDescent="0.25">
      <c r="I132">
        <v>72</v>
      </c>
      <c r="J132">
        <f t="shared" ca="1" si="6"/>
        <v>0.160819036512168</v>
      </c>
      <c r="K132">
        <f t="shared" ca="1" si="7"/>
        <v>0.48843972455988865</v>
      </c>
      <c r="L132">
        <f t="shared" ca="1" si="8"/>
        <v>0.11918121515221192</v>
      </c>
      <c r="M132">
        <f t="shared" ca="1" si="9"/>
        <v>278.26182165653552</v>
      </c>
    </row>
    <row r="133" spans="9:13" x14ac:dyDescent="0.25">
      <c r="I133">
        <v>73</v>
      </c>
      <c r="J133">
        <f t="shared" ca="1" si="6"/>
        <v>6.9735630222847719E-2</v>
      </c>
      <c r="K133">
        <f t="shared" ca="1" si="7"/>
        <v>0.43306904985336642</v>
      </c>
      <c r="L133">
        <f t="shared" ca="1" si="8"/>
        <v>0.11362183136680973</v>
      </c>
      <c r="M133">
        <f t="shared" ca="1" si="9"/>
        <v>173.49530446847996</v>
      </c>
    </row>
    <row r="134" spans="9:13" x14ac:dyDescent="0.25">
      <c r="I134">
        <v>74</v>
      </c>
      <c r="J134">
        <f t="shared" ca="1" si="6"/>
        <v>8.9939420463486353E-2</v>
      </c>
      <c r="K134">
        <f t="shared" ca="1" si="7"/>
        <v>0.41300296971253048</v>
      </c>
      <c r="L134">
        <f t="shared" ca="1" si="8"/>
        <v>0.11251584362927024</v>
      </c>
      <c r="M134">
        <f t="shared" ca="1" si="9"/>
        <v>184.03721136528992</v>
      </c>
    </row>
    <row r="135" spans="9:13" x14ac:dyDescent="0.25">
      <c r="I135">
        <v>75</v>
      </c>
      <c r="J135">
        <f t="shared" ca="1" si="6"/>
        <v>8.9339341920095669E-2</v>
      </c>
      <c r="K135">
        <f t="shared" ca="1" si="7"/>
        <v>0.48409637666326283</v>
      </c>
      <c r="L135">
        <f t="shared" ca="1" si="8"/>
        <v>0.11055643935040352</v>
      </c>
      <c r="M135">
        <f t="shared" ca="1" si="9"/>
        <v>220.28079174425969</v>
      </c>
    </row>
    <row r="136" spans="9:13" x14ac:dyDescent="0.25">
      <c r="I136">
        <v>76</v>
      </c>
      <c r="J136">
        <f t="shared" ca="1" si="6"/>
        <v>6.9654306930359053E-2</v>
      </c>
      <c r="K136">
        <f t="shared" ca="1" si="7"/>
        <v>0.42096842892899428</v>
      </c>
      <c r="L136">
        <f t="shared" ca="1" si="8"/>
        <v>0.11118120576687426</v>
      </c>
      <c r="M136">
        <f t="shared" ca="1" si="9"/>
        <v>173.28051211831155</v>
      </c>
    </row>
    <row r="137" spans="9:13" x14ac:dyDescent="0.25">
      <c r="I137">
        <v>77</v>
      </c>
      <c r="J137">
        <f t="shared" ca="1" si="6"/>
        <v>4.8695462782411485E-2</v>
      </c>
      <c r="K137">
        <f t="shared" ca="1" si="7"/>
        <v>0.41488993319223189</v>
      </c>
      <c r="L137">
        <f t="shared" ca="1" si="8"/>
        <v>0.11978201311814238</v>
      </c>
      <c r="M137">
        <f t="shared" ca="1" si="9"/>
        <v>140.57186046079039</v>
      </c>
    </row>
    <row r="138" spans="9:13" x14ac:dyDescent="0.25">
      <c r="I138">
        <v>78</v>
      </c>
      <c r="J138">
        <f t="shared" ca="1" si="6"/>
        <v>7.4796493009884335E-2</v>
      </c>
      <c r="K138">
        <f t="shared" ca="1" si="7"/>
        <v>0.46626287949925488</v>
      </c>
      <c r="L138">
        <f t="shared" ca="1" si="8"/>
        <v>0.11576578967289354</v>
      </c>
      <c r="M138">
        <f t="shared" ca="1" si="9"/>
        <v>186.92771356371634</v>
      </c>
    </row>
    <row r="139" spans="9:13" x14ac:dyDescent="0.25">
      <c r="I139">
        <v>79</v>
      </c>
      <c r="J139">
        <f t="shared" ca="1" si="6"/>
        <v>6.3144183474727972E-2</v>
      </c>
      <c r="K139">
        <f t="shared" ca="1" si="7"/>
        <v>0.41029727285973761</v>
      </c>
      <c r="L139">
        <f t="shared" ca="1" si="8"/>
        <v>0.11539096081964911</v>
      </c>
      <c r="M139">
        <f t="shared" ca="1" si="9"/>
        <v>156.14412137296927</v>
      </c>
    </row>
    <row r="140" spans="9:13" x14ac:dyDescent="0.25">
      <c r="I140">
        <v>80</v>
      </c>
      <c r="J140">
        <f t="shared" ca="1" si="6"/>
        <v>0.12139959812778173</v>
      </c>
      <c r="K140">
        <f t="shared" ca="1" si="7"/>
        <v>0.45334679710511644</v>
      </c>
      <c r="L140">
        <f t="shared" ca="1" si="8"/>
        <v>0.10400241816943966</v>
      </c>
      <c r="M140">
        <f t="shared" ca="1" si="9"/>
        <v>258.23220464489032</v>
      </c>
    </row>
    <row r="141" spans="9:13" x14ac:dyDescent="0.25">
      <c r="I141">
        <v>81</v>
      </c>
      <c r="J141">
        <f t="shared" ca="1" si="6"/>
        <v>9.0615880140042515E-2</v>
      </c>
      <c r="K141">
        <f t="shared" ca="1" si="7"/>
        <v>0.45144283449371753</v>
      </c>
      <c r="L141">
        <f t="shared" ca="1" si="8"/>
        <v>8.9478647140279005E-2</v>
      </c>
      <c r="M141">
        <f t="shared" ca="1" si="9"/>
        <v>273.47714545562775</v>
      </c>
    </row>
    <row r="142" spans="9:13" x14ac:dyDescent="0.25">
      <c r="I142">
        <v>82</v>
      </c>
      <c r="J142">
        <f t="shared" ca="1" si="6"/>
        <v>0.11945939122458207</v>
      </c>
      <c r="K142">
        <f t="shared" ca="1" si="7"/>
        <v>0.42138402897229182</v>
      </c>
      <c r="L142">
        <f t="shared" ca="1" si="8"/>
        <v>0.10334648923020991</v>
      </c>
      <c r="M142">
        <f t="shared" ca="1" si="9"/>
        <v>239.80826562078119</v>
      </c>
    </row>
    <row r="143" spans="9:13" x14ac:dyDescent="0.25">
      <c r="I143">
        <v>83</v>
      </c>
      <c r="J143">
        <f t="shared" ca="1" si="6"/>
        <v>7.7879946708603362E-2</v>
      </c>
      <c r="K143">
        <f t="shared" ca="1" si="7"/>
        <v>0.3804061673713649</v>
      </c>
      <c r="L143">
        <f t="shared" ca="1" si="8"/>
        <v>0.11133680558108101</v>
      </c>
      <c r="M143">
        <f t="shared" ca="1" si="9"/>
        <v>162.310691618584</v>
      </c>
    </row>
    <row r="144" spans="9:13" x14ac:dyDescent="0.25">
      <c r="I144">
        <v>84</v>
      </c>
      <c r="J144">
        <f t="shared" ca="1" si="6"/>
        <v>9.9134515734497067E-2</v>
      </c>
      <c r="K144">
        <f t="shared" ca="1" si="7"/>
        <v>0.397947253442064</v>
      </c>
      <c r="L144">
        <f t="shared" ca="1" si="8"/>
        <v>9.5301863260061542E-2</v>
      </c>
      <c r="M144">
        <f t="shared" ca="1" si="9"/>
        <v>229.880417471247</v>
      </c>
    </row>
    <row r="145" spans="9:13" x14ac:dyDescent="0.25">
      <c r="I145">
        <v>85</v>
      </c>
      <c r="J145">
        <f t="shared" ca="1" si="6"/>
        <v>5.8440247175421553E-2</v>
      </c>
      <c r="K145">
        <f t="shared" ca="1" si="7"/>
        <v>0.42614580289315873</v>
      </c>
      <c r="L145">
        <f t="shared" ca="1" si="8"/>
        <v>0.11219004982983334</v>
      </c>
      <c r="M145">
        <f t="shared" ca="1" si="9"/>
        <v>164.43205963982177</v>
      </c>
    </row>
    <row r="146" spans="9:13" x14ac:dyDescent="0.25">
      <c r="I146">
        <v>86</v>
      </c>
      <c r="J146">
        <f t="shared" ca="1" si="6"/>
        <v>7.8815954812489278E-2</v>
      </c>
      <c r="K146">
        <f t="shared" ca="1" si="7"/>
        <v>0.50503645129977093</v>
      </c>
      <c r="L146">
        <f t="shared" ca="1" si="8"/>
        <v>0.11304927298240885</v>
      </c>
      <c r="M146">
        <f t="shared" ca="1" si="9"/>
        <v>212.76471065154678</v>
      </c>
    </row>
    <row r="147" spans="9:13" x14ac:dyDescent="0.25">
      <c r="I147">
        <v>87</v>
      </c>
      <c r="J147">
        <f t="shared" ca="1" si="6"/>
        <v>9.0067294248687021E-2</v>
      </c>
      <c r="K147">
        <f t="shared" ca="1" si="7"/>
        <v>0.42853751366649306</v>
      </c>
      <c r="L147">
        <f t="shared" ca="1" si="8"/>
        <v>0.11675288866602984</v>
      </c>
      <c r="M147">
        <f t="shared" ca="1" si="9"/>
        <v>182.37030520605063</v>
      </c>
    </row>
    <row r="148" spans="9:13" x14ac:dyDescent="0.25">
      <c r="I148">
        <v>88</v>
      </c>
      <c r="J148">
        <f t="shared" ca="1" si="6"/>
        <v>5.9675246094124598E-2</v>
      </c>
      <c r="K148">
        <f t="shared" ca="1" si="7"/>
        <v>0.44732968605594065</v>
      </c>
      <c r="L148">
        <f t="shared" ca="1" si="8"/>
        <v>0.11347676351335624</v>
      </c>
      <c r="M148">
        <f t="shared" ca="1" si="9"/>
        <v>171.19370800285887</v>
      </c>
    </row>
    <row r="149" spans="9:13" x14ac:dyDescent="0.25">
      <c r="I149">
        <v>89</v>
      </c>
      <c r="J149">
        <f t="shared" ca="1" si="6"/>
        <v>0.16368769388929549</v>
      </c>
      <c r="K149">
        <f t="shared" ca="1" si="7"/>
        <v>0.4495382612590168</v>
      </c>
      <c r="L149">
        <f t="shared" ca="1" si="8"/>
        <v>0.10257070845727137</v>
      </c>
      <c r="M149">
        <f t="shared" ca="1" si="9"/>
        <v>314.06731344150148</v>
      </c>
    </row>
    <row r="150" spans="9:13" x14ac:dyDescent="0.25">
      <c r="I150">
        <v>90</v>
      </c>
      <c r="J150">
        <f t="shared" ca="1" si="6"/>
        <v>0.12718839694749959</v>
      </c>
      <c r="K150">
        <f t="shared" ca="1" si="7"/>
        <v>0.38996773758371428</v>
      </c>
      <c r="L150">
        <f t="shared" ca="1" si="8"/>
        <v>0.10428903357100101</v>
      </c>
      <c r="M150">
        <f t="shared" ca="1" si="9"/>
        <v>226.9219300422881</v>
      </c>
    </row>
    <row r="151" spans="9:13" x14ac:dyDescent="0.25">
      <c r="I151">
        <v>91</v>
      </c>
      <c r="J151">
        <f t="shared" ca="1" si="6"/>
        <v>9.3619767223317427E-2</v>
      </c>
      <c r="K151">
        <f t="shared" ca="1" si="7"/>
        <v>0.43913053269978036</v>
      </c>
      <c r="L151">
        <f t="shared" ca="1" si="8"/>
        <v>0.11669792383827042</v>
      </c>
      <c r="M151">
        <f t="shared" ca="1" si="9"/>
        <v>190.12168702105646</v>
      </c>
    </row>
    <row r="152" spans="9:13" x14ac:dyDescent="0.25">
      <c r="I152">
        <v>92</v>
      </c>
      <c r="J152">
        <f t="shared" ca="1" si="6"/>
        <v>0.12311820805638023</v>
      </c>
      <c r="K152">
        <f t="shared" ca="1" si="7"/>
        <v>0.44764733062489165</v>
      </c>
      <c r="L152">
        <f t="shared" ca="1" si="8"/>
        <v>0.10526950429626483</v>
      </c>
      <c r="M152">
        <f t="shared" ca="1" si="9"/>
        <v>252.91611842362889</v>
      </c>
    </row>
    <row r="153" spans="9:13" x14ac:dyDescent="0.25">
      <c r="I153">
        <v>93</v>
      </c>
      <c r="J153">
        <f t="shared" ca="1" si="6"/>
        <v>7.7385116602783605E-2</v>
      </c>
      <c r="K153">
        <f t="shared" ca="1" si="7"/>
        <v>0.44120781171729695</v>
      </c>
      <c r="L153">
        <f t="shared" ca="1" si="8"/>
        <v>0.10689592012402191</v>
      </c>
      <c r="M153">
        <f t="shared" ca="1" si="9"/>
        <v>198.1926246262388</v>
      </c>
    </row>
    <row r="154" spans="9:13" x14ac:dyDescent="0.25">
      <c r="I154">
        <v>94</v>
      </c>
      <c r="J154">
        <f t="shared" ca="1" si="6"/>
        <v>0.11115826916572698</v>
      </c>
      <c r="K154">
        <f t="shared" ca="1" si="7"/>
        <v>0.49954021221655043</v>
      </c>
      <c r="L154">
        <f t="shared" ca="1" si="8"/>
        <v>0.10800107789990646</v>
      </c>
      <c r="M154">
        <f t="shared" ca="1" si="9"/>
        <v>258.88544352180969</v>
      </c>
    </row>
    <row r="155" spans="9:13" x14ac:dyDescent="0.25">
      <c r="I155">
        <v>95</v>
      </c>
      <c r="J155">
        <f t="shared" ca="1" si="6"/>
        <v>5.7507231806353948E-3</v>
      </c>
      <c r="K155">
        <f t="shared" ca="1" si="7"/>
        <v>0.46394371401401535</v>
      </c>
      <c r="L155">
        <f t="shared" ca="1" si="8"/>
        <v>0.13557258250561008</v>
      </c>
      <c r="M155">
        <f t="shared" ca="1" si="9"/>
        <v>109.26817066654164</v>
      </c>
    </row>
    <row r="156" spans="9:13" x14ac:dyDescent="0.25">
      <c r="I156">
        <v>96</v>
      </c>
      <c r="J156">
        <f t="shared" ca="1" si="6"/>
        <v>6.9561607658771313E-2</v>
      </c>
      <c r="K156">
        <f t="shared" ca="1" si="7"/>
        <v>0.42019135874119051</v>
      </c>
      <c r="L156">
        <f t="shared" ca="1" si="8"/>
        <v>9.8055730662544333E-2</v>
      </c>
      <c r="M156">
        <f t="shared" ca="1" si="9"/>
        <v>203.73131896425011</v>
      </c>
    </row>
    <row r="157" spans="9:13" x14ac:dyDescent="0.25">
      <c r="I157">
        <v>97</v>
      </c>
      <c r="J157">
        <f t="shared" ca="1" si="6"/>
        <v>6.7644865246390018E-2</v>
      </c>
      <c r="K157">
        <f t="shared" ca="1" si="7"/>
        <v>0.47471937839471212</v>
      </c>
      <c r="L157">
        <f t="shared" ca="1" si="8"/>
        <v>0.10653724543328806</v>
      </c>
      <c r="M157">
        <f t="shared" ca="1" si="9"/>
        <v>204.71391947066547</v>
      </c>
    </row>
    <row r="158" spans="9:13" x14ac:dyDescent="0.25">
      <c r="I158">
        <v>98</v>
      </c>
      <c r="J158">
        <f t="shared" ca="1" si="6"/>
        <v>5.1897772835878785E-2</v>
      </c>
      <c r="K158">
        <f t="shared" ca="1" si="7"/>
        <v>0.44326368480632727</v>
      </c>
      <c r="L158">
        <f t="shared" ca="1" si="8"/>
        <v>0.10709412299628543</v>
      </c>
      <c r="M158">
        <f t="shared" ca="1" si="9"/>
        <v>176.0578028572273</v>
      </c>
    </row>
    <row r="159" spans="9:13" x14ac:dyDescent="0.25">
      <c r="I159">
        <v>99</v>
      </c>
      <c r="J159">
        <f t="shared" ca="1" si="6"/>
        <v>9.0285701792392287E-2</v>
      </c>
      <c r="K159">
        <f t="shared" ca="1" si="7"/>
        <v>0.42084004255329449</v>
      </c>
      <c r="L159">
        <f t="shared" ca="1" si="8"/>
        <v>0.11504111657923749</v>
      </c>
      <c r="M159">
        <f t="shared" ca="1" si="9"/>
        <v>182.62949384319231</v>
      </c>
    </row>
    <row r="160" spans="9:13" x14ac:dyDescent="0.25">
      <c r="I160">
        <v>100</v>
      </c>
      <c r="J160">
        <f t="shared" ca="1" si="6"/>
        <v>0.12511912772191494</v>
      </c>
      <c r="K160">
        <f t="shared" ca="1" si="7"/>
        <v>0.40675274890624952</v>
      </c>
      <c r="L160">
        <f t="shared" ca="1" si="8"/>
        <v>0.11516961407162521</v>
      </c>
      <c r="M160">
        <f t="shared" ca="1" si="9"/>
        <v>206.48790256532004</v>
      </c>
    </row>
    <row r="161" spans="9:13" x14ac:dyDescent="0.25">
      <c r="I161">
        <v>101</v>
      </c>
      <c r="J161">
        <f t="shared" ca="1" si="6"/>
        <v>0.15131791665437</v>
      </c>
      <c r="K161">
        <f t="shared" ca="1" si="7"/>
        <v>0.45468347693473982</v>
      </c>
      <c r="L161">
        <f t="shared" ca="1" si="8"/>
        <v>0.10997750979859595</v>
      </c>
      <c r="M161">
        <f t="shared" ca="1" si="9"/>
        <v>275.06274426297779</v>
      </c>
    </row>
    <row r="162" spans="9:13" x14ac:dyDescent="0.25">
      <c r="I162">
        <v>102</v>
      </c>
      <c r="J162">
        <f t="shared" ca="1" si="6"/>
        <v>8.2695775054862974E-2</v>
      </c>
      <c r="K162">
        <f t="shared" ca="1" si="7"/>
        <v>0.48499123760723706</v>
      </c>
      <c r="L162">
        <f t="shared" ca="1" si="8"/>
        <v>0.11008114319582089</v>
      </c>
      <c r="M162">
        <f t="shared" ca="1" si="9"/>
        <v>215.18120965243327</v>
      </c>
    </row>
    <row r="163" spans="9:13" x14ac:dyDescent="0.25">
      <c r="I163">
        <v>103</v>
      </c>
      <c r="J163">
        <f t="shared" ca="1" si="6"/>
        <v>0.12444517401252105</v>
      </c>
      <c r="K163">
        <f t="shared" ca="1" si="7"/>
        <v>0.42497030055236584</v>
      </c>
      <c r="L163">
        <f t="shared" ca="1" si="8"/>
        <v>0.10092549338512935</v>
      </c>
      <c r="M163">
        <f t="shared" ca="1" si="9"/>
        <v>255.15390520662186</v>
      </c>
    </row>
    <row r="164" spans="9:13" x14ac:dyDescent="0.25">
      <c r="I164">
        <v>104</v>
      </c>
      <c r="J164">
        <f t="shared" ca="1" si="6"/>
        <v>8.5372612051935692E-2</v>
      </c>
      <c r="K164">
        <f t="shared" ca="1" si="7"/>
        <v>0.44569102143067085</v>
      </c>
      <c r="L164">
        <f t="shared" ca="1" si="8"/>
        <v>0.1135120592562661</v>
      </c>
      <c r="M164">
        <f t="shared" ca="1" si="9"/>
        <v>192.39324194902827</v>
      </c>
    </row>
    <row r="165" spans="9:13" x14ac:dyDescent="0.25">
      <c r="I165">
        <v>105</v>
      </c>
      <c r="J165">
        <f t="shared" ca="1" si="6"/>
        <v>0.10757122984286077</v>
      </c>
      <c r="K165">
        <f t="shared" ca="1" si="7"/>
        <v>0.45388178425752573</v>
      </c>
      <c r="L165">
        <f t="shared" ca="1" si="8"/>
        <v>0.10498976961947815</v>
      </c>
      <c r="M165">
        <f t="shared" ca="1" si="9"/>
        <v>239.91795128535611</v>
      </c>
    </row>
    <row r="166" spans="9:13" x14ac:dyDescent="0.25">
      <c r="I166">
        <v>106</v>
      </c>
      <c r="J166">
        <f t="shared" ca="1" si="6"/>
        <v>0.1092243414601779</v>
      </c>
      <c r="K166">
        <f t="shared" ca="1" si="7"/>
        <v>0.40614703764814108</v>
      </c>
      <c r="L166">
        <f t="shared" ca="1" si="8"/>
        <v>0.12323271421036509</v>
      </c>
      <c r="M166">
        <f t="shared" ca="1" si="9"/>
        <v>176.27929857930843</v>
      </c>
    </row>
    <row r="167" spans="9:13" x14ac:dyDescent="0.25">
      <c r="I167">
        <v>107</v>
      </c>
      <c r="J167">
        <f t="shared" ca="1" si="6"/>
        <v>8.2281969379624231E-2</v>
      </c>
      <c r="K167">
        <f t="shared" ca="1" si="7"/>
        <v>0.41568383798235514</v>
      </c>
      <c r="L167">
        <f t="shared" ca="1" si="8"/>
        <v>0.11078432684877323</v>
      </c>
      <c r="M167">
        <f t="shared" ca="1" si="9"/>
        <v>182.35451021260255</v>
      </c>
    </row>
    <row r="168" spans="9:13" x14ac:dyDescent="0.25">
      <c r="I168">
        <v>108</v>
      </c>
      <c r="J168">
        <f t="shared" ca="1" si="6"/>
        <v>4.3705519168515242E-2</v>
      </c>
      <c r="K168">
        <f t="shared" ca="1" si="7"/>
        <v>0.3936824455108151</v>
      </c>
      <c r="L168">
        <f t="shared" ca="1" si="8"/>
        <v>9.9197111984140357E-2</v>
      </c>
      <c r="M168">
        <f t="shared" ca="1" si="9"/>
        <v>166.04392295104955</v>
      </c>
    </row>
    <row r="169" spans="9:13" x14ac:dyDescent="0.25">
      <c r="I169">
        <v>109</v>
      </c>
      <c r="J169">
        <f t="shared" ca="1" si="6"/>
        <v>8.8108831463185128E-2</v>
      </c>
      <c r="K169">
        <f t="shared" ca="1" si="7"/>
        <v>0.50148878970420974</v>
      </c>
      <c r="L169">
        <f t="shared" ca="1" si="8"/>
        <v>0.1067907386443733</v>
      </c>
      <c r="M169">
        <f t="shared" ca="1" si="9"/>
        <v>237.31567307872143</v>
      </c>
    </row>
    <row r="170" spans="9:13" x14ac:dyDescent="0.25">
      <c r="I170">
        <v>110</v>
      </c>
      <c r="J170">
        <f t="shared" ca="1" si="6"/>
        <v>0.12522461891143438</v>
      </c>
      <c r="K170">
        <f t="shared" ca="1" si="7"/>
        <v>0.39660217726197877</v>
      </c>
      <c r="L170">
        <f t="shared" ca="1" si="8"/>
        <v>0.10182683702003019</v>
      </c>
      <c r="M170">
        <f t="shared" ca="1" si="9"/>
        <v>236.06713394295178</v>
      </c>
    </row>
    <row r="171" spans="9:13" x14ac:dyDescent="0.25">
      <c r="I171">
        <v>111</v>
      </c>
      <c r="J171">
        <f t="shared" ca="1" si="6"/>
        <v>8.2205759322358046E-2</v>
      </c>
      <c r="K171">
        <f t="shared" ca="1" si="7"/>
        <v>0.41909453212223946</v>
      </c>
      <c r="L171">
        <f t="shared" ca="1" si="8"/>
        <v>0.10317569533927533</v>
      </c>
      <c r="M171">
        <f t="shared" ca="1" si="9"/>
        <v>201.55930660571167</v>
      </c>
    </row>
    <row r="172" spans="9:13" x14ac:dyDescent="0.25">
      <c r="I172">
        <v>112</v>
      </c>
      <c r="J172">
        <f t="shared" ca="1" si="6"/>
        <v>0.10032131810901733</v>
      </c>
      <c r="K172">
        <f t="shared" ca="1" si="7"/>
        <v>0.37327720390516972</v>
      </c>
      <c r="L172">
        <f t="shared" ca="1" si="8"/>
        <v>0.11181682866594952</v>
      </c>
      <c r="M172">
        <f t="shared" ca="1" si="9"/>
        <v>175.72125391992128</v>
      </c>
    </row>
    <row r="173" spans="9:13" x14ac:dyDescent="0.25">
      <c r="I173">
        <v>113</v>
      </c>
      <c r="J173">
        <f t="shared" ca="1" si="6"/>
        <v>4.4784484797481802E-2</v>
      </c>
      <c r="K173">
        <f t="shared" ca="1" si="7"/>
        <v>0.38236906558012917</v>
      </c>
      <c r="L173">
        <f t="shared" ca="1" si="8"/>
        <v>0.11823596939664961</v>
      </c>
      <c r="M173">
        <f t="shared" ca="1" si="9"/>
        <v>129.10226056156975</v>
      </c>
    </row>
    <row r="174" spans="9:13" x14ac:dyDescent="0.25">
      <c r="I174">
        <v>114</v>
      </c>
      <c r="J174">
        <f t="shared" ca="1" si="6"/>
        <v>6.7159971690504264E-2</v>
      </c>
      <c r="K174">
        <f t="shared" ca="1" si="7"/>
        <v>0.40420637749271737</v>
      </c>
      <c r="L174">
        <f t="shared" ca="1" si="8"/>
        <v>0.11134135662397894</v>
      </c>
      <c r="M174">
        <f t="shared" ca="1" si="9"/>
        <v>164.0667219505282</v>
      </c>
    </row>
    <row r="175" spans="9:13" x14ac:dyDescent="0.25">
      <c r="I175">
        <v>115</v>
      </c>
      <c r="J175">
        <f t="shared" ca="1" si="6"/>
        <v>7.1939809566939614E-2</v>
      </c>
      <c r="K175">
        <f t="shared" ca="1" si="7"/>
        <v>0.42409009098569839</v>
      </c>
      <c r="L175">
        <f t="shared" ca="1" si="8"/>
        <v>0.12946077940025263</v>
      </c>
      <c r="M175">
        <f t="shared" ca="1" si="9"/>
        <v>145.77680593777006</v>
      </c>
    </row>
    <row r="176" spans="9:13" x14ac:dyDescent="0.25">
      <c r="I176">
        <v>116</v>
      </c>
      <c r="J176">
        <f t="shared" ca="1" si="6"/>
        <v>0.10967981307238339</v>
      </c>
      <c r="K176">
        <f t="shared" ca="1" si="7"/>
        <v>0.45760604746561284</v>
      </c>
      <c r="L176">
        <f t="shared" ca="1" si="8"/>
        <v>0.10983024208596479</v>
      </c>
      <c r="M176">
        <f t="shared" ca="1" si="9"/>
        <v>230.40388175541386</v>
      </c>
    </row>
    <row r="177" spans="9:13" x14ac:dyDescent="0.25">
      <c r="I177">
        <v>117</v>
      </c>
      <c r="J177">
        <f t="shared" ca="1" si="6"/>
        <v>0.10430452729801874</v>
      </c>
      <c r="K177">
        <f t="shared" ca="1" si="7"/>
        <v>0.39554543218184274</v>
      </c>
      <c r="L177">
        <f t="shared" ca="1" si="8"/>
        <v>0.10289916100995815</v>
      </c>
      <c r="M177">
        <f t="shared" ca="1" si="9"/>
        <v>211.27781455517555</v>
      </c>
    </row>
    <row r="178" spans="9:13" x14ac:dyDescent="0.25">
      <c r="I178">
        <v>118</v>
      </c>
      <c r="J178">
        <f t="shared" ca="1" si="6"/>
        <v>0.12905314657574188</v>
      </c>
      <c r="K178">
        <f t="shared" ca="1" si="7"/>
        <v>0.43591063146918307</v>
      </c>
      <c r="L178">
        <f t="shared" ca="1" si="8"/>
        <v>9.7504176378812091E-2</v>
      </c>
      <c r="M178">
        <f t="shared" ca="1" si="9"/>
        <v>279.70629720242448</v>
      </c>
    </row>
    <row r="179" spans="9:13" x14ac:dyDescent="0.25">
      <c r="I179">
        <v>119</v>
      </c>
      <c r="J179">
        <f t="shared" ca="1" si="6"/>
        <v>8.9576280764751576E-2</v>
      </c>
      <c r="K179">
        <f t="shared" ca="1" si="7"/>
        <v>0.39324424982773926</v>
      </c>
      <c r="L179">
        <f t="shared" ca="1" si="8"/>
        <v>9.8470112872006202E-2</v>
      </c>
      <c r="M179">
        <f t="shared" ca="1" si="9"/>
        <v>208.05527818624779</v>
      </c>
    </row>
    <row r="180" spans="9:13" x14ac:dyDescent="0.25">
      <c r="I180">
        <v>120</v>
      </c>
      <c r="J180">
        <f t="shared" ca="1" si="6"/>
        <v>9.1029182501683167E-2</v>
      </c>
      <c r="K180">
        <f t="shared" ca="1" si="7"/>
        <v>0.43093481497074609</v>
      </c>
      <c r="L180">
        <f t="shared" ca="1" si="8"/>
        <v>9.642736300216545E-2</v>
      </c>
      <c r="M180">
        <f t="shared" ca="1" si="9"/>
        <v>236.20517834447071</v>
      </c>
    </row>
    <row r="181" spans="9:13" x14ac:dyDescent="0.25">
      <c r="I181">
        <v>121</v>
      </c>
      <c r="J181">
        <f t="shared" ca="1" si="6"/>
        <v>8.8513395255391286E-2</v>
      </c>
      <c r="K181">
        <f t="shared" ca="1" si="7"/>
        <v>0.42852544122562491</v>
      </c>
      <c r="L181">
        <f t="shared" ca="1" si="8"/>
        <v>0.10614406210424383</v>
      </c>
      <c r="M181">
        <f t="shared" ca="1" si="9"/>
        <v>204.54426425128278</v>
      </c>
    </row>
    <row r="182" spans="9:13" x14ac:dyDescent="0.25">
      <c r="I182">
        <v>122</v>
      </c>
      <c r="J182">
        <f t="shared" ca="1" si="6"/>
        <v>0.14847091235605897</v>
      </c>
      <c r="K182">
        <f t="shared" ca="1" si="7"/>
        <v>0.4482125068419231</v>
      </c>
      <c r="L182">
        <f t="shared" ca="1" si="8"/>
        <v>0.11288813800623906</v>
      </c>
      <c r="M182">
        <f t="shared" ca="1" si="9"/>
        <v>258.98608712178702</v>
      </c>
    </row>
    <row r="183" spans="9:13" x14ac:dyDescent="0.25">
      <c r="I183">
        <v>123</v>
      </c>
      <c r="J183">
        <f t="shared" ca="1" si="6"/>
        <v>9.6586969258312227E-2</v>
      </c>
      <c r="K183">
        <f t="shared" ca="1" si="7"/>
        <v>0.4774432987146312</v>
      </c>
      <c r="L183">
        <f t="shared" ca="1" si="8"/>
        <v>0.11062162656055351</v>
      </c>
      <c r="M183">
        <f t="shared" ca="1" si="9"/>
        <v>224.43853100260517</v>
      </c>
    </row>
    <row r="184" spans="9:13" x14ac:dyDescent="0.25">
      <c r="I184">
        <v>124</v>
      </c>
      <c r="J184">
        <f t="shared" ca="1" si="6"/>
        <v>9.8419690100880156E-2</v>
      </c>
      <c r="K184">
        <f t="shared" ca="1" si="7"/>
        <v>0.46041470774676635</v>
      </c>
      <c r="L184">
        <f t="shared" ca="1" si="8"/>
        <v>0.12638257115321933</v>
      </c>
      <c r="M184">
        <f t="shared" ca="1" si="9"/>
        <v>184.54805391025425</v>
      </c>
    </row>
    <row r="185" spans="9:13" x14ac:dyDescent="0.25">
      <c r="I185">
        <v>125</v>
      </c>
      <c r="J185">
        <f t="shared" ca="1" si="6"/>
        <v>8.5067931618702367E-2</v>
      </c>
      <c r="K185">
        <f t="shared" ca="1" si="7"/>
        <v>0.4181046436640784</v>
      </c>
      <c r="L185">
        <f t="shared" ca="1" si="8"/>
        <v>0.10297162032324811</v>
      </c>
      <c r="M185">
        <f t="shared" ca="1" si="9"/>
        <v>204.30327984366482</v>
      </c>
    </row>
    <row r="186" spans="9:13" x14ac:dyDescent="0.25">
      <c r="I186">
        <v>126</v>
      </c>
      <c r="J186">
        <f t="shared" ca="1" si="6"/>
        <v>8.9574626606844301E-2</v>
      </c>
      <c r="K186">
        <f t="shared" ca="1" si="7"/>
        <v>0.40343220923352191</v>
      </c>
      <c r="L186">
        <f t="shared" ca="1" si="8"/>
        <v>0.1234483458581369</v>
      </c>
      <c r="M186">
        <f t="shared" ca="1" si="9"/>
        <v>159.63937103927933</v>
      </c>
    </row>
    <row r="187" spans="9:13" x14ac:dyDescent="0.25">
      <c r="I187">
        <v>127</v>
      </c>
      <c r="J187">
        <f t="shared" ca="1" si="6"/>
        <v>4.8141702516350832E-2</v>
      </c>
      <c r="K187">
        <f t="shared" ca="1" si="7"/>
        <v>0.43043249584834753</v>
      </c>
      <c r="L187">
        <f t="shared" ca="1" si="8"/>
        <v>0.11390994964234048</v>
      </c>
      <c r="M187">
        <f t="shared" ca="1" si="9"/>
        <v>155.06082337631364</v>
      </c>
    </row>
    <row r="188" spans="9:13" x14ac:dyDescent="0.25">
      <c r="I188">
        <v>128</v>
      </c>
      <c r="J188">
        <f t="shared" ca="1" si="6"/>
        <v>3.83221818812969E-2</v>
      </c>
      <c r="K188">
        <f t="shared" ca="1" si="7"/>
        <v>0.429165742155111</v>
      </c>
      <c r="L188">
        <f t="shared" ca="1" si="8"/>
        <v>0.1139930330661294</v>
      </c>
      <c r="M188">
        <f t="shared" ca="1" si="9"/>
        <v>147.28318973054039</v>
      </c>
    </row>
    <row r="189" spans="9:13" x14ac:dyDescent="0.25">
      <c r="I189">
        <v>129</v>
      </c>
      <c r="J189">
        <f t="shared" ca="1" si="6"/>
        <v>7.9842768529237371E-2</v>
      </c>
      <c r="K189">
        <f t="shared" ca="1" si="7"/>
        <v>0.44381189778006175</v>
      </c>
      <c r="L189">
        <f t="shared" ca="1" si="8"/>
        <v>0.10645068790082597</v>
      </c>
      <c r="M189">
        <f t="shared" ca="1" si="9"/>
        <v>202.76853438398331</v>
      </c>
    </row>
    <row r="190" spans="9:13" x14ac:dyDescent="0.25">
      <c r="I190">
        <v>130</v>
      </c>
      <c r="J190">
        <f t="shared" ref="J190:J253" ca="1" si="10">_xlfn.NORM.INV(RAND(),0.085,0.03)</f>
        <v>6.8785863844994077E-2</v>
      </c>
      <c r="K190">
        <f t="shared" ref="K190:K253" ca="1" si="11">_xlfn.NORM.INV(RAND(),0.435,0.03)</f>
        <v>0.45966519218481161</v>
      </c>
      <c r="L190">
        <f t="shared" ref="L190:L253" ca="1" si="12">_xlfn.NORM.INV(RAND(),0.1106,0.01)</f>
        <v>0.11782031159404768</v>
      </c>
      <c r="M190">
        <f t="shared" ref="M190:M253" ca="1" si="13">((416.161*(1+J190)^5*K190*(1-(1+L190)^-5)/L190)+(416.161*(1+J190)^5*K190*(1+0.025)/(L190-0.025)*(1+L190)^-5)-78.328+54.697)/15.02</f>
        <v>175.18596048830412</v>
      </c>
    </row>
    <row r="191" spans="9:13" x14ac:dyDescent="0.25">
      <c r="I191">
        <v>131</v>
      </c>
      <c r="J191">
        <f t="shared" ca="1" si="10"/>
        <v>4.8648524246492665E-2</v>
      </c>
      <c r="K191">
        <f t="shared" ca="1" si="11"/>
        <v>0.4300120999171913</v>
      </c>
      <c r="L191">
        <f t="shared" ca="1" si="12"/>
        <v>0.13228989823109946</v>
      </c>
      <c r="M191">
        <f t="shared" ca="1" si="13"/>
        <v>128.82430839419362</v>
      </c>
    </row>
    <row r="192" spans="9:13" x14ac:dyDescent="0.25">
      <c r="I192">
        <v>132</v>
      </c>
      <c r="J192">
        <f t="shared" ca="1" si="10"/>
        <v>8.1752421536808215E-2</v>
      </c>
      <c r="K192">
        <f t="shared" ca="1" si="11"/>
        <v>0.41373918271612453</v>
      </c>
      <c r="L192">
        <f t="shared" ca="1" si="12"/>
        <v>0.11168018166025497</v>
      </c>
      <c r="M192">
        <f t="shared" ca="1" si="13"/>
        <v>179.18816082547917</v>
      </c>
    </row>
    <row r="193" spans="9:13" x14ac:dyDescent="0.25">
      <c r="I193">
        <v>133</v>
      </c>
      <c r="J193">
        <f t="shared" ca="1" si="10"/>
        <v>5.681237400558789E-2</v>
      </c>
      <c r="K193">
        <f t="shared" ca="1" si="11"/>
        <v>0.48213298069041322</v>
      </c>
      <c r="L193">
        <f t="shared" ca="1" si="12"/>
        <v>0.10582947530090592</v>
      </c>
      <c r="M193">
        <f t="shared" ca="1" si="13"/>
        <v>199.2378773452017</v>
      </c>
    </row>
    <row r="194" spans="9:13" x14ac:dyDescent="0.25">
      <c r="I194">
        <v>134</v>
      </c>
      <c r="J194">
        <f t="shared" ca="1" si="10"/>
        <v>7.7057310587893058E-2</v>
      </c>
      <c r="K194">
        <f t="shared" ca="1" si="11"/>
        <v>0.38629945805457105</v>
      </c>
      <c r="L194">
        <f t="shared" ca="1" si="12"/>
        <v>0.12510047893059401</v>
      </c>
      <c r="M194">
        <f t="shared" ca="1" si="13"/>
        <v>141.76306816323211</v>
      </c>
    </row>
    <row r="195" spans="9:13" x14ac:dyDescent="0.25">
      <c r="I195">
        <v>135</v>
      </c>
      <c r="J195">
        <f t="shared" ca="1" si="10"/>
        <v>0.11823997697881906</v>
      </c>
      <c r="K195">
        <f t="shared" ca="1" si="11"/>
        <v>0.38267995515671882</v>
      </c>
      <c r="L195">
        <f t="shared" ca="1" si="12"/>
        <v>9.3965588150940665E-2</v>
      </c>
      <c r="M195">
        <f t="shared" ca="1" si="13"/>
        <v>245.66700873003791</v>
      </c>
    </row>
    <row r="196" spans="9:13" x14ac:dyDescent="0.25">
      <c r="I196">
        <v>136</v>
      </c>
      <c r="J196">
        <f t="shared" ca="1" si="10"/>
        <v>8.8433337132218265E-2</v>
      </c>
      <c r="K196">
        <f t="shared" ca="1" si="11"/>
        <v>0.43733178641168302</v>
      </c>
      <c r="L196">
        <f t="shared" ca="1" si="12"/>
        <v>0.1147607890454411</v>
      </c>
      <c r="M196">
        <f t="shared" ca="1" si="13"/>
        <v>188.81073974007919</v>
      </c>
    </row>
    <row r="197" spans="9:13" x14ac:dyDescent="0.25">
      <c r="I197">
        <v>137</v>
      </c>
      <c r="J197">
        <f t="shared" ca="1" si="10"/>
        <v>8.6842762780381597E-2</v>
      </c>
      <c r="K197">
        <f t="shared" ca="1" si="11"/>
        <v>0.45019981757927169</v>
      </c>
      <c r="L197">
        <f t="shared" ca="1" si="12"/>
        <v>0.1195241885904062</v>
      </c>
      <c r="M197">
        <f t="shared" ca="1" si="13"/>
        <v>183.33427728736902</v>
      </c>
    </row>
    <row r="198" spans="9:13" x14ac:dyDescent="0.25">
      <c r="I198">
        <v>138</v>
      </c>
      <c r="J198">
        <f t="shared" ca="1" si="10"/>
        <v>0.11721148996516549</v>
      </c>
      <c r="K198">
        <f t="shared" ca="1" si="11"/>
        <v>0.4639014390200768</v>
      </c>
      <c r="L198">
        <f t="shared" ca="1" si="12"/>
        <v>0.11806374371954323</v>
      </c>
      <c r="M198">
        <f t="shared" ca="1" si="13"/>
        <v>220.48687539860217</v>
      </c>
    </row>
    <row r="199" spans="9:13" x14ac:dyDescent="0.25">
      <c r="I199">
        <v>139</v>
      </c>
      <c r="J199">
        <f t="shared" ca="1" si="10"/>
        <v>0.11374498381584736</v>
      </c>
      <c r="K199">
        <f t="shared" ca="1" si="11"/>
        <v>0.42778083488337854</v>
      </c>
      <c r="L199">
        <f t="shared" ca="1" si="12"/>
        <v>0.10632077190642579</v>
      </c>
      <c r="M199">
        <f t="shared" ca="1" si="13"/>
        <v>228.67098234231017</v>
      </c>
    </row>
    <row r="200" spans="9:13" x14ac:dyDescent="0.25">
      <c r="I200">
        <v>140</v>
      </c>
      <c r="J200">
        <f t="shared" ca="1" si="10"/>
        <v>7.8763707873008848E-2</v>
      </c>
      <c r="K200">
        <f t="shared" ca="1" si="11"/>
        <v>0.40282352094761453</v>
      </c>
      <c r="L200">
        <f t="shared" ca="1" si="12"/>
        <v>0.1046582793134339</v>
      </c>
      <c r="M200">
        <f t="shared" ca="1" si="13"/>
        <v>187.06242921314328</v>
      </c>
    </row>
    <row r="201" spans="9:13" x14ac:dyDescent="0.25">
      <c r="I201">
        <v>141</v>
      </c>
      <c r="J201">
        <f t="shared" ca="1" si="10"/>
        <v>7.0906234110920896E-2</v>
      </c>
      <c r="K201">
        <f t="shared" ca="1" si="11"/>
        <v>0.47214192377735287</v>
      </c>
      <c r="L201">
        <f t="shared" ca="1" si="12"/>
        <v>0.12822331420172245</v>
      </c>
      <c r="M201">
        <f t="shared" ca="1" si="13"/>
        <v>163.60595744203431</v>
      </c>
    </row>
    <row r="202" spans="9:13" x14ac:dyDescent="0.25">
      <c r="I202">
        <v>142</v>
      </c>
      <c r="J202">
        <f t="shared" ca="1" si="10"/>
        <v>9.5973465593661975E-2</v>
      </c>
      <c r="K202">
        <f t="shared" ca="1" si="11"/>
        <v>0.4041890764666165</v>
      </c>
      <c r="L202">
        <f t="shared" ca="1" si="12"/>
        <v>0.12820441556181922</v>
      </c>
      <c r="M202">
        <f t="shared" ca="1" si="13"/>
        <v>157.20407654086446</v>
      </c>
    </row>
    <row r="203" spans="9:13" x14ac:dyDescent="0.25">
      <c r="I203">
        <v>143</v>
      </c>
      <c r="J203">
        <f t="shared" ca="1" si="10"/>
        <v>9.7405739543026018E-2</v>
      </c>
      <c r="K203">
        <f t="shared" ca="1" si="11"/>
        <v>0.47297476540751404</v>
      </c>
      <c r="L203">
        <f t="shared" ca="1" si="12"/>
        <v>0.10921235744357019</v>
      </c>
      <c r="M203">
        <f t="shared" ca="1" si="13"/>
        <v>226.86336624558092</v>
      </c>
    </row>
    <row r="204" spans="9:13" x14ac:dyDescent="0.25">
      <c r="I204">
        <v>144</v>
      </c>
      <c r="J204">
        <f t="shared" ca="1" si="10"/>
        <v>7.6223460001460852E-2</v>
      </c>
      <c r="K204">
        <f t="shared" ca="1" si="11"/>
        <v>0.3947263831835246</v>
      </c>
      <c r="L204">
        <f t="shared" ca="1" si="12"/>
        <v>0.10436276928143347</v>
      </c>
      <c r="M204">
        <f t="shared" ca="1" si="13"/>
        <v>181.77484531329094</v>
      </c>
    </row>
    <row r="205" spans="9:13" x14ac:dyDescent="0.25">
      <c r="I205">
        <v>145</v>
      </c>
      <c r="J205">
        <f t="shared" ca="1" si="10"/>
        <v>6.944445406639993E-2</v>
      </c>
      <c r="K205">
        <f t="shared" ca="1" si="11"/>
        <v>0.4696872198489026</v>
      </c>
      <c r="L205">
        <f t="shared" ca="1" si="12"/>
        <v>0.12097983542887904</v>
      </c>
      <c r="M205">
        <f t="shared" ca="1" si="13"/>
        <v>173.7291465893303</v>
      </c>
    </row>
    <row r="206" spans="9:13" x14ac:dyDescent="0.25">
      <c r="I206">
        <v>146</v>
      </c>
      <c r="J206">
        <f t="shared" ca="1" si="10"/>
        <v>5.8395934136789202E-2</v>
      </c>
      <c r="K206">
        <f t="shared" ca="1" si="11"/>
        <v>0.48720866375226607</v>
      </c>
      <c r="L206">
        <f t="shared" ca="1" si="12"/>
        <v>0.10855021016597301</v>
      </c>
      <c r="M206">
        <f t="shared" ca="1" si="13"/>
        <v>196.31675192934392</v>
      </c>
    </row>
    <row r="207" spans="9:13" x14ac:dyDescent="0.25">
      <c r="I207">
        <v>147</v>
      </c>
      <c r="J207">
        <f t="shared" ca="1" si="10"/>
        <v>9.5408846757672597E-2</v>
      </c>
      <c r="K207">
        <f t="shared" ca="1" si="11"/>
        <v>0.45335072377395902</v>
      </c>
      <c r="L207">
        <f t="shared" ca="1" si="12"/>
        <v>0.10907580994287633</v>
      </c>
      <c r="M207">
        <f t="shared" ca="1" si="13"/>
        <v>215.74751539897611</v>
      </c>
    </row>
    <row r="208" spans="9:13" x14ac:dyDescent="0.25">
      <c r="I208">
        <v>148</v>
      </c>
      <c r="J208">
        <f t="shared" ca="1" si="10"/>
        <v>0.14482338902853636</v>
      </c>
      <c r="K208">
        <f t="shared" ca="1" si="11"/>
        <v>0.40917448890207359</v>
      </c>
      <c r="L208">
        <f t="shared" ca="1" si="12"/>
        <v>0.10823204598359792</v>
      </c>
      <c r="M208">
        <f t="shared" ca="1" si="13"/>
        <v>245.42910720910908</v>
      </c>
    </row>
    <row r="209" spans="9:13" x14ac:dyDescent="0.25">
      <c r="I209">
        <v>149</v>
      </c>
      <c r="J209">
        <f t="shared" ca="1" si="10"/>
        <v>0.12754451311274745</v>
      </c>
      <c r="K209">
        <f t="shared" ca="1" si="11"/>
        <v>0.43204586304641218</v>
      </c>
      <c r="L209">
        <f t="shared" ca="1" si="12"/>
        <v>0.10882502559729201</v>
      </c>
      <c r="M209">
        <f t="shared" ca="1" si="13"/>
        <v>238.45467415568342</v>
      </c>
    </row>
    <row r="210" spans="9:13" x14ac:dyDescent="0.25">
      <c r="I210">
        <v>150</v>
      </c>
      <c r="J210">
        <f t="shared" ca="1" si="10"/>
        <v>8.6945173672906648E-2</v>
      </c>
      <c r="K210">
        <f t="shared" ca="1" si="11"/>
        <v>0.45301999800512976</v>
      </c>
      <c r="L210">
        <f t="shared" ca="1" si="12"/>
        <v>0.11347470332019947</v>
      </c>
      <c r="M210">
        <f t="shared" ca="1" si="13"/>
        <v>197.09778625534318</v>
      </c>
    </row>
    <row r="211" spans="9:13" x14ac:dyDescent="0.25">
      <c r="I211">
        <v>151</v>
      </c>
      <c r="J211">
        <f t="shared" ca="1" si="10"/>
        <v>7.7198260374322814E-2</v>
      </c>
      <c r="K211">
        <f t="shared" ca="1" si="11"/>
        <v>0.40180304004283857</v>
      </c>
      <c r="L211">
        <f t="shared" ca="1" si="12"/>
        <v>0.11204840852396893</v>
      </c>
      <c r="M211">
        <f t="shared" ca="1" si="13"/>
        <v>169.59318610077352</v>
      </c>
    </row>
    <row r="212" spans="9:13" x14ac:dyDescent="0.25">
      <c r="I212">
        <v>152</v>
      </c>
      <c r="J212">
        <f t="shared" ca="1" si="10"/>
        <v>2.7767633363808046E-2</v>
      </c>
      <c r="K212">
        <f t="shared" ca="1" si="11"/>
        <v>0.48609041162828526</v>
      </c>
      <c r="L212">
        <f t="shared" ca="1" si="12"/>
        <v>0.11385956804191127</v>
      </c>
      <c r="M212">
        <f t="shared" ca="1" si="13"/>
        <v>158.86769938818941</v>
      </c>
    </row>
    <row r="213" spans="9:13" x14ac:dyDescent="0.25">
      <c r="I213">
        <v>153</v>
      </c>
      <c r="J213">
        <f t="shared" ca="1" si="10"/>
        <v>0.13064031360822351</v>
      </c>
      <c r="K213">
        <f t="shared" ca="1" si="11"/>
        <v>0.41398608587278274</v>
      </c>
      <c r="L213">
        <f t="shared" ca="1" si="12"/>
        <v>9.9807891838148532E-2</v>
      </c>
      <c r="M213">
        <f t="shared" ca="1" si="13"/>
        <v>259.270108840945</v>
      </c>
    </row>
    <row r="214" spans="9:13" x14ac:dyDescent="0.25">
      <c r="I214">
        <v>154</v>
      </c>
      <c r="J214">
        <f t="shared" ca="1" si="10"/>
        <v>4.6138105587501602E-2</v>
      </c>
      <c r="K214">
        <f t="shared" ca="1" si="11"/>
        <v>0.44505829326848545</v>
      </c>
      <c r="L214">
        <f t="shared" ca="1" si="12"/>
        <v>0.10580513423753198</v>
      </c>
      <c r="M214">
        <f t="shared" ca="1" si="13"/>
        <v>174.6740008093783</v>
      </c>
    </row>
    <row r="215" spans="9:13" x14ac:dyDescent="0.25">
      <c r="I215">
        <v>155</v>
      </c>
      <c r="J215">
        <f t="shared" ca="1" si="10"/>
        <v>4.6393369920511615E-2</v>
      </c>
      <c r="K215">
        <f t="shared" ca="1" si="11"/>
        <v>0.39215551565293288</v>
      </c>
      <c r="L215">
        <f t="shared" ca="1" si="12"/>
        <v>0.11023140205833176</v>
      </c>
      <c r="M215">
        <f t="shared" ca="1" si="13"/>
        <v>145.95680571399575</v>
      </c>
    </row>
    <row r="216" spans="9:13" x14ac:dyDescent="0.25">
      <c r="I216">
        <v>156</v>
      </c>
      <c r="J216">
        <f t="shared" ca="1" si="10"/>
        <v>0.10738919641363211</v>
      </c>
      <c r="K216">
        <f t="shared" ca="1" si="11"/>
        <v>0.45829293583696334</v>
      </c>
      <c r="L216">
        <f t="shared" ca="1" si="12"/>
        <v>0.13297972325587817</v>
      </c>
      <c r="M216">
        <f t="shared" ca="1" si="13"/>
        <v>179.7902197663112</v>
      </c>
    </row>
    <row r="217" spans="9:13" x14ac:dyDescent="0.25">
      <c r="I217">
        <v>157</v>
      </c>
      <c r="J217">
        <f t="shared" ca="1" si="10"/>
        <v>6.5872326925240365E-2</v>
      </c>
      <c r="K217">
        <f t="shared" ca="1" si="11"/>
        <v>0.42762686302552805</v>
      </c>
      <c r="L217">
        <f t="shared" ca="1" si="12"/>
        <v>0.10965086144038996</v>
      </c>
      <c r="M217">
        <f t="shared" ca="1" si="13"/>
        <v>176.03420867413629</v>
      </c>
    </row>
    <row r="218" spans="9:13" x14ac:dyDescent="0.25">
      <c r="I218">
        <v>158</v>
      </c>
      <c r="J218">
        <f t="shared" ca="1" si="10"/>
        <v>9.9987460172683645E-2</v>
      </c>
      <c r="K218">
        <f t="shared" ca="1" si="11"/>
        <v>0.43043014788211231</v>
      </c>
      <c r="L218">
        <f t="shared" ca="1" si="12"/>
        <v>0.10544487838762948</v>
      </c>
      <c r="M218">
        <f t="shared" ca="1" si="13"/>
        <v>218.4728802066347</v>
      </c>
    </row>
    <row r="219" spans="9:13" x14ac:dyDescent="0.25">
      <c r="I219">
        <v>159</v>
      </c>
      <c r="J219">
        <f t="shared" ca="1" si="10"/>
        <v>8.9069086060255889E-2</v>
      </c>
      <c r="K219">
        <f t="shared" ca="1" si="11"/>
        <v>0.41627369162256894</v>
      </c>
      <c r="L219">
        <f t="shared" ca="1" si="12"/>
        <v>0.10699389021501285</v>
      </c>
      <c r="M219">
        <f t="shared" ca="1" si="13"/>
        <v>197.11302385546543</v>
      </c>
    </row>
    <row r="220" spans="9:13" x14ac:dyDescent="0.25">
      <c r="I220">
        <v>160</v>
      </c>
      <c r="J220">
        <f t="shared" ca="1" si="10"/>
        <v>3.0395174146859417E-2</v>
      </c>
      <c r="K220">
        <f t="shared" ca="1" si="11"/>
        <v>0.39763592691479832</v>
      </c>
      <c r="L220">
        <f t="shared" ca="1" si="12"/>
        <v>0.11674357924809602</v>
      </c>
      <c r="M220">
        <f t="shared" ca="1" si="13"/>
        <v>127.24493780560043</v>
      </c>
    </row>
    <row r="221" spans="9:13" x14ac:dyDescent="0.25">
      <c r="I221">
        <v>161</v>
      </c>
      <c r="J221">
        <f t="shared" ca="1" si="10"/>
        <v>8.8572509267252811E-2</v>
      </c>
      <c r="K221">
        <f t="shared" ca="1" si="11"/>
        <v>0.38720571817216343</v>
      </c>
      <c r="L221">
        <f t="shared" ca="1" si="12"/>
        <v>0.12405078205831158</v>
      </c>
      <c r="M221">
        <f t="shared" ca="1" si="13"/>
        <v>151.52397355219105</v>
      </c>
    </row>
    <row r="222" spans="9:13" x14ac:dyDescent="0.25">
      <c r="I222">
        <v>162</v>
      </c>
      <c r="J222">
        <f t="shared" ca="1" si="10"/>
        <v>7.9580407103006276E-2</v>
      </c>
      <c r="K222">
        <f t="shared" ca="1" si="11"/>
        <v>0.46886664432391334</v>
      </c>
      <c r="L222">
        <f t="shared" ca="1" si="12"/>
        <v>0.10355998779323267</v>
      </c>
      <c r="M222">
        <f t="shared" ca="1" si="13"/>
        <v>221.85789241142993</v>
      </c>
    </row>
    <row r="223" spans="9:13" x14ac:dyDescent="0.25">
      <c r="I223">
        <v>163</v>
      </c>
      <c r="J223">
        <f t="shared" ca="1" si="10"/>
        <v>4.2970844141668081E-2</v>
      </c>
      <c r="K223">
        <f t="shared" ca="1" si="11"/>
        <v>0.44261664452509808</v>
      </c>
      <c r="L223">
        <f t="shared" ca="1" si="12"/>
        <v>0.11193201007888057</v>
      </c>
      <c r="M223">
        <f t="shared" ca="1" si="13"/>
        <v>159.07938419102865</v>
      </c>
    </row>
    <row r="224" spans="9:13" x14ac:dyDescent="0.25">
      <c r="I224">
        <v>164</v>
      </c>
      <c r="J224">
        <f t="shared" ca="1" si="10"/>
        <v>9.852818584904964E-2</v>
      </c>
      <c r="K224">
        <f t="shared" ca="1" si="11"/>
        <v>0.42166746094539265</v>
      </c>
      <c r="L224">
        <f t="shared" ca="1" si="12"/>
        <v>9.8579165641764999E-2</v>
      </c>
      <c r="M224">
        <f t="shared" ca="1" si="13"/>
        <v>232.2515897158716</v>
      </c>
    </row>
    <row r="225" spans="9:13" x14ac:dyDescent="0.25">
      <c r="I225">
        <v>165</v>
      </c>
      <c r="J225">
        <f t="shared" ca="1" si="10"/>
        <v>0.10177908290172551</v>
      </c>
      <c r="K225">
        <f t="shared" ca="1" si="11"/>
        <v>0.49507746702274469</v>
      </c>
      <c r="L225">
        <f t="shared" ca="1" si="12"/>
        <v>0.10607084719950118</v>
      </c>
      <c r="M225">
        <f t="shared" ca="1" si="13"/>
        <v>251.64875023377681</v>
      </c>
    </row>
    <row r="226" spans="9:13" x14ac:dyDescent="0.25">
      <c r="I226">
        <v>166</v>
      </c>
      <c r="J226">
        <f t="shared" ca="1" si="10"/>
        <v>0.10727059614401446</v>
      </c>
      <c r="K226">
        <f t="shared" ca="1" si="11"/>
        <v>0.44245870008391491</v>
      </c>
      <c r="L226">
        <f t="shared" ca="1" si="12"/>
        <v>0.10904509033890536</v>
      </c>
      <c r="M226">
        <f t="shared" ca="1" si="13"/>
        <v>222.34195154272209</v>
      </c>
    </row>
    <row r="227" spans="9:13" x14ac:dyDescent="0.25">
      <c r="I227">
        <v>167</v>
      </c>
      <c r="J227">
        <f t="shared" ca="1" si="10"/>
        <v>6.3595643231808524E-2</v>
      </c>
      <c r="K227">
        <f t="shared" ca="1" si="11"/>
        <v>0.43434553953010302</v>
      </c>
      <c r="L227">
        <f t="shared" ca="1" si="12"/>
        <v>0.12110229404628171</v>
      </c>
      <c r="M227">
        <f t="shared" ca="1" si="13"/>
        <v>155.95609320838236</v>
      </c>
    </row>
    <row r="228" spans="9:13" x14ac:dyDescent="0.25">
      <c r="I228">
        <v>168</v>
      </c>
      <c r="J228">
        <f t="shared" ca="1" si="10"/>
        <v>0.12441296544048591</v>
      </c>
      <c r="K228">
        <f t="shared" ca="1" si="11"/>
        <v>0.46121507636521081</v>
      </c>
      <c r="L228">
        <f t="shared" ca="1" si="12"/>
        <v>0.12557993258606001</v>
      </c>
      <c r="M228">
        <f t="shared" ca="1" si="13"/>
        <v>209.64479171240191</v>
      </c>
    </row>
    <row r="229" spans="9:13" x14ac:dyDescent="0.25">
      <c r="I229">
        <v>169</v>
      </c>
      <c r="J229">
        <f t="shared" ca="1" si="10"/>
        <v>9.6313941853407178E-2</v>
      </c>
      <c r="K229">
        <f t="shared" ca="1" si="11"/>
        <v>0.40839292501278202</v>
      </c>
      <c r="L229">
        <f t="shared" ca="1" si="12"/>
        <v>0.12128549358279039</v>
      </c>
      <c r="M229">
        <f t="shared" ca="1" si="13"/>
        <v>170.44830096982119</v>
      </c>
    </row>
    <row r="230" spans="9:13" x14ac:dyDescent="0.25">
      <c r="I230">
        <v>170</v>
      </c>
      <c r="J230">
        <f t="shared" ca="1" si="10"/>
        <v>0.10178309047301248</v>
      </c>
      <c r="K230">
        <f t="shared" ca="1" si="11"/>
        <v>0.41804734792837106</v>
      </c>
      <c r="L230">
        <f t="shared" ca="1" si="12"/>
        <v>0.10706931802804454</v>
      </c>
      <c r="M230">
        <f t="shared" ca="1" si="13"/>
        <v>209.69019372401408</v>
      </c>
    </row>
    <row r="231" spans="9:13" x14ac:dyDescent="0.25">
      <c r="I231">
        <v>171</v>
      </c>
      <c r="J231">
        <f t="shared" ca="1" si="10"/>
        <v>0.12812865363262765</v>
      </c>
      <c r="K231">
        <f t="shared" ca="1" si="11"/>
        <v>0.38992456939059517</v>
      </c>
      <c r="L231">
        <f t="shared" ca="1" si="12"/>
        <v>0.11313067715750226</v>
      </c>
      <c r="M231">
        <f t="shared" ca="1" si="13"/>
        <v>205.16377214367026</v>
      </c>
    </row>
    <row r="232" spans="9:13" x14ac:dyDescent="0.25">
      <c r="I232">
        <v>172</v>
      </c>
      <c r="J232">
        <f t="shared" ca="1" si="10"/>
        <v>0.10568269293580387</v>
      </c>
      <c r="K232">
        <f t="shared" ca="1" si="11"/>
        <v>0.44055873129016077</v>
      </c>
      <c r="L232">
        <f t="shared" ca="1" si="12"/>
        <v>0.11394681653425165</v>
      </c>
      <c r="M232">
        <f t="shared" ca="1" si="13"/>
        <v>207.77068531268736</v>
      </c>
    </row>
    <row r="233" spans="9:13" x14ac:dyDescent="0.25">
      <c r="I233">
        <v>173</v>
      </c>
      <c r="J233">
        <f t="shared" ca="1" si="10"/>
        <v>6.736735454875678E-2</v>
      </c>
      <c r="K233">
        <f t="shared" ca="1" si="11"/>
        <v>0.37557029971657985</v>
      </c>
      <c r="L233">
        <f t="shared" ca="1" si="12"/>
        <v>0.10650255106714666</v>
      </c>
      <c r="M233">
        <f t="shared" ca="1" si="13"/>
        <v>161.4854822655804</v>
      </c>
    </row>
    <row r="234" spans="9:13" x14ac:dyDescent="0.25">
      <c r="I234">
        <v>174</v>
      </c>
      <c r="J234">
        <f t="shared" ca="1" si="10"/>
        <v>6.7594288401013183E-2</v>
      </c>
      <c r="K234">
        <f t="shared" ca="1" si="11"/>
        <v>0.44671008554337421</v>
      </c>
      <c r="L234">
        <f t="shared" ca="1" si="12"/>
        <v>0.10815863271937988</v>
      </c>
      <c r="M234">
        <f t="shared" ca="1" si="13"/>
        <v>188.76868867776764</v>
      </c>
    </row>
    <row r="235" spans="9:13" x14ac:dyDescent="0.25">
      <c r="I235">
        <v>175</v>
      </c>
      <c r="J235">
        <f t="shared" ca="1" si="10"/>
        <v>0.10041237919122947</v>
      </c>
      <c r="K235">
        <f t="shared" ca="1" si="11"/>
        <v>0.40898871347317173</v>
      </c>
      <c r="L235">
        <f t="shared" ca="1" si="12"/>
        <v>0.10259607935146098</v>
      </c>
      <c r="M235">
        <f t="shared" ca="1" si="13"/>
        <v>215.4931384052235</v>
      </c>
    </row>
    <row r="236" spans="9:13" x14ac:dyDescent="0.25">
      <c r="I236">
        <v>176</v>
      </c>
      <c r="J236">
        <f t="shared" ca="1" si="10"/>
        <v>6.8071647553245324E-2</v>
      </c>
      <c r="K236">
        <f t="shared" ca="1" si="11"/>
        <v>0.48034614135108528</v>
      </c>
      <c r="L236">
        <f t="shared" ca="1" si="12"/>
        <v>0.11498117701927232</v>
      </c>
      <c r="M236">
        <f t="shared" ca="1" si="13"/>
        <v>188.23641087269894</v>
      </c>
    </row>
    <row r="237" spans="9:13" x14ac:dyDescent="0.25">
      <c r="I237">
        <v>177</v>
      </c>
      <c r="J237">
        <f t="shared" ca="1" si="10"/>
        <v>5.4627395140632126E-2</v>
      </c>
      <c r="K237">
        <f t="shared" ca="1" si="11"/>
        <v>0.41483902874995582</v>
      </c>
      <c r="L237">
        <f t="shared" ca="1" si="12"/>
        <v>0.1187637056869531</v>
      </c>
      <c r="M237">
        <f t="shared" ca="1" si="13"/>
        <v>146.18147042271366</v>
      </c>
    </row>
    <row r="238" spans="9:13" x14ac:dyDescent="0.25">
      <c r="I238">
        <v>178</v>
      </c>
      <c r="J238">
        <f t="shared" ca="1" si="10"/>
        <v>6.5421705857701157E-2</v>
      </c>
      <c r="K238">
        <f t="shared" ca="1" si="11"/>
        <v>0.42796100919661584</v>
      </c>
      <c r="L238">
        <f t="shared" ca="1" si="12"/>
        <v>0.1208210827540228</v>
      </c>
      <c r="M238">
        <f t="shared" ca="1" si="13"/>
        <v>155.4293595231164</v>
      </c>
    </row>
    <row r="239" spans="9:13" x14ac:dyDescent="0.25">
      <c r="I239">
        <v>179</v>
      </c>
      <c r="J239">
        <f t="shared" ca="1" si="10"/>
        <v>7.8708241032158399E-2</v>
      </c>
      <c r="K239">
        <f t="shared" ca="1" si="11"/>
        <v>0.42509012168021054</v>
      </c>
      <c r="L239">
        <f t="shared" ca="1" si="12"/>
        <v>0.10034982700991264</v>
      </c>
      <c r="M239">
        <f t="shared" ca="1" si="13"/>
        <v>208.65045000623556</v>
      </c>
    </row>
    <row r="240" spans="9:13" x14ac:dyDescent="0.25">
      <c r="I240">
        <v>180</v>
      </c>
      <c r="J240">
        <f t="shared" ca="1" si="10"/>
        <v>6.0669003366472213E-2</v>
      </c>
      <c r="K240">
        <f t="shared" ca="1" si="11"/>
        <v>0.4375008045626303</v>
      </c>
      <c r="L240">
        <f t="shared" ca="1" si="12"/>
        <v>0.10374750219128623</v>
      </c>
      <c r="M240">
        <f t="shared" ca="1" si="13"/>
        <v>188.8312509788941</v>
      </c>
    </row>
    <row r="241" spans="9:13" x14ac:dyDescent="0.25">
      <c r="I241">
        <v>181</v>
      </c>
      <c r="J241">
        <f t="shared" ca="1" si="10"/>
        <v>5.1004301201977943E-2</v>
      </c>
      <c r="K241">
        <f t="shared" ca="1" si="11"/>
        <v>0.409447199576848</v>
      </c>
      <c r="L241">
        <f t="shared" ca="1" si="12"/>
        <v>0.10821429552414895</v>
      </c>
      <c r="M241">
        <f t="shared" ca="1" si="13"/>
        <v>159.6440490305659</v>
      </c>
    </row>
    <row r="242" spans="9:13" x14ac:dyDescent="0.25">
      <c r="I242">
        <v>182</v>
      </c>
      <c r="J242">
        <f t="shared" ca="1" si="10"/>
        <v>7.5034245150992662E-2</v>
      </c>
      <c r="K242">
        <f t="shared" ca="1" si="11"/>
        <v>0.41172209788344261</v>
      </c>
      <c r="L242">
        <f t="shared" ca="1" si="12"/>
        <v>0.1263827011883209</v>
      </c>
      <c r="M242">
        <f t="shared" ca="1" si="13"/>
        <v>147.88519003065738</v>
      </c>
    </row>
    <row r="243" spans="9:13" x14ac:dyDescent="0.25">
      <c r="I243">
        <v>183</v>
      </c>
      <c r="J243">
        <f t="shared" ca="1" si="10"/>
        <v>0.13344753033334866</v>
      </c>
      <c r="K243">
        <f t="shared" ca="1" si="11"/>
        <v>0.39804236574713081</v>
      </c>
      <c r="L243">
        <f t="shared" ca="1" si="12"/>
        <v>0.10371463620464701</v>
      </c>
      <c r="M243">
        <f t="shared" ca="1" si="13"/>
        <v>239.92504351335717</v>
      </c>
    </row>
    <row r="244" spans="9:13" x14ac:dyDescent="0.25">
      <c r="I244">
        <v>184</v>
      </c>
      <c r="J244">
        <f t="shared" ca="1" si="10"/>
        <v>7.662135087507288E-2</v>
      </c>
      <c r="K244">
        <f t="shared" ca="1" si="11"/>
        <v>0.45941868636472749</v>
      </c>
      <c r="L244">
        <f t="shared" ca="1" si="12"/>
        <v>0.13080543234053871</v>
      </c>
      <c r="M244">
        <f t="shared" ca="1" si="13"/>
        <v>159.53082115871919</v>
      </c>
    </row>
    <row r="245" spans="9:13" x14ac:dyDescent="0.25">
      <c r="I245">
        <v>185</v>
      </c>
      <c r="J245">
        <f t="shared" ca="1" si="10"/>
        <v>8.8622765871480991E-2</v>
      </c>
      <c r="K245">
        <f t="shared" ca="1" si="11"/>
        <v>0.41014153364327322</v>
      </c>
      <c r="L245">
        <f t="shared" ca="1" si="12"/>
        <v>0.10696131770978351</v>
      </c>
      <c r="M245">
        <f t="shared" ca="1" si="13"/>
        <v>193.86184342902044</v>
      </c>
    </row>
    <row r="246" spans="9:13" x14ac:dyDescent="0.25">
      <c r="I246">
        <v>186</v>
      </c>
      <c r="J246">
        <f t="shared" ca="1" si="10"/>
        <v>7.7780195909746733E-2</v>
      </c>
      <c r="K246">
        <f t="shared" ca="1" si="11"/>
        <v>0.40073337664380898</v>
      </c>
      <c r="L246">
        <f t="shared" ca="1" si="12"/>
        <v>0.12278518213251945</v>
      </c>
      <c r="M246">
        <f t="shared" ca="1" si="13"/>
        <v>151.09058222138685</v>
      </c>
    </row>
    <row r="247" spans="9:13" x14ac:dyDescent="0.25">
      <c r="I247">
        <v>187</v>
      </c>
      <c r="J247">
        <f t="shared" ca="1" si="10"/>
        <v>5.1300104115093149E-2</v>
      </c>
      <c r="K247">
        <f t="shared" ca="1" si="11"/>
        <v>0.4659068982602429</v>
      </c>
      <c r="L247">
        <f t="shared" ca="1" si="12"/>
        <v>0.11600957251989215</v>
      </c>
      <c r="M247">
        <f t="shared" ca="1" si="13"/>
        <v>166.63136574535505</v>
      </c>
    </row>
    <row r="248" spans="9:13" x14ac:dyDescent="0.25">
      <c r="I248">
        <v>188</v>
      </c>
      <c r="J248">
        <f t="shared" ca="1" si="10"/>
        <v>9.5201763142257076E-2</v>
      </c>
      <c r="K248">
        <f t="shared" ca="1" si="11"/>
        <v>0.40747910977598023</v>
      </c>
      <c r="L248">
        <f t="shared" ca="1" si="12"/>
        <v>0.1044102634610907</v>
      </c>
      <c r="M248">
        <f t="shared" ca="1" si="13"/>
        <v>204.86395244802381</v>
      </c>
    </row>
    <row r="249" spans="9:13" x14ac:dyDescent="0.25">
      <c r="I249">
        <v>189</v>
      </c>
      <c r="J249">
        <f t="shared" ca="1" si="10"/>
        <v>6.1833562453964708E-2</v>
      </c>
      <c r="K249">
        <f t="shared" ca="1" si="11"/>
        <v>0.47815102828158235</v>
      </c>
      <c r="L249">
        <f t="shared" ca="1" si="12"/>
        <v>0.107191959914208</v>
      </c>
      <c r="M249">
        <f t="shared" ca="1" si="13"/>
        <v>199.02486626806237</v>
      </c>
    </row>
    <row r="250" spans="9:13" x14ac:dyDescent="0.25">
      <c r="I250">
        <v>190</v>
      </c>
      <c r="J250">
        <f t="shared" ca="1" si="10"/>
        <v>0.10666835410447288</v>
      </c>
      <c r="K250">
        <f t="shared" ca="1" si="11"/>
        <v>0.38561214538977195</v>
      </c>
      <c r="L250">
        <f t="shared" ca="1" si="12"/>
        <v>0.11382076483364215</v>
      </c>
      <c r="M250">
        <f t="shared" ca="1" si="13"/>
        <v>182.73652544026316</v>
      </c>
    </row>
    <row r="251" spans="9:13" x14ac:dyDescent="0.25">
      <c r="I251">
        <v>191</v>
      </c>
      <c r="J251">
        <f t="shared" ca="1" si="10"/>
        <v>0.1058955585278695</v>
      </c>
      <c r="K251">
        <f t="shared" ca="1" si="11"/>
        <v>0.40210628308385948</v>
      </c>
      <c r="L251">
        <f t="shared" ca="1" si="12"/>
        <v>0.11237782018743531</v>
      </c>
      <c r="M251">
        <f t="shared" ca="1" si="13"/>
        <v>193.06299681504865</v>
      </c>
    </row>
    <row r="252" spans="9:13" x14ac:dyDescent="0.25">
      <c r="I252">
        <v>192</v>
      </c>
      <c r="J252">
        <f t="shared" ca="1" si="10"/>
        <v>9.2389187654802502E-2</v>
      </c>
      <c r="K252">
        <f t="shared" ca="1" si="11"/>
        <v>0.39721599343428038</v>
      </c>
      <c r="L252">
        <f t="shared" ca="1" si="12"/>
        <v>0.10544459439611362</v>
      </c>
      <c r="M252">
        <f t="shared" ca="1" si="13"/>
        <v>194.57641509103399</v>
      </c>
    </row>
    <row r="253" spans="9:13" x14ac:dyDescent="0.25">
      <c r="I253">
        <v>193</v>
      </c>
      <c r="J253">
        <f t="shared" ca="1" si="10"/>
        <v>-1.6695227291250198E-2</v>
      </c>
      <c r="K253">
        <f t="shared" ca="1" si="11"/>
        <v>0.39781156754274005</v>
      </c>
      <c r="L253">
        <f t="shared" ca="1" si="12"/>
        <v>0.10168838111144744</v>
      </c>
      <c r="M253">
        <f t="shared" ca="1" si="13"/>
        <v>120.11799359951956</v>
      </c>
    </row>
    <row r="254" spans="9:13" x14ac:dyDescent="0.25">
      <c r="I254">
        <v>194</v>
      </c>
      <c r="J254">
        <f t="shared" ref="J254:J317" ca="1" si="14">_xlfn.NORM.INV(RAND(),0.085,0.03)</f>
        <v>0.10691000298109317</v>
      </c>
      <c r="K254">
        <f t="shared" ref="K254:K317" ca="1" si="15">_xlfn.NORM.INV(RAND(),0.435,0.03)</f>
        <v>0.44901944429289919</v>
      </c>
      <c r="L254">
        <f t="shared" ref="L254:L317" ca="1" si="16">_xlfn.NORM.INV(RAND(),0.1106,0.01)</f>
        <v>0.11259314270133544</v>
      </c>
      <c r="M254">
        <f t="shared" ref="M254:M317" ca="1" si="17">((416.161*(1+J254)^5*K254*(1-(1+L254)^-5)/L254)+(416.161*(1+J254)^5*K254*(1+0.025)/(L254-0.025)*(1+L254)^-5)-78.328+54.697)/15.02</f>
        <v>216.2412295820707</v>
      </c>
    </row>
    <row r="255" spans="9:13" x14ac:dyDescent="0.25">
      <c r="I255">
        <v>195</v>
      </c>
      <c r="J255">
        <f t="shared" ca="1" si="14"/>
        <v>9.2273844673337838E-2</v>
      </c>
      <c r="K255">
        <f t="shared" ca="1" si="15"/>
        <v>0.46370161805178695</v>
      </c>
      <c r="L255">
        <f t="shared" ca="1" si="16"/>
        <v>0.10510189579953227</v>
      </c>
      <c r="M255">
        <f t="shared" ca="1" si="17"/>
        <v>228.25164006510767</v>
      </c>
    </row>
    <row r="256" spans="9:13" x14ac:dyDescent="0.25">
      <c r="I256">
        <v>196</v>
      </c>
      <c r="J256">
        <f t="shared" ca="1" si="14"/>
        <v>6.1110394514497249E-2</v>
      </c>
      <c r="K256">
        <f t="shared" ca="1" si="15"/>
        <v>0.42843763058436807</v>
      </c>
      <c r="L256">
        <f t="shared" ca="1" si="16"/>
        <v>0.11626185953415338</v>
      </c>
      <c r="M256">
        <f t="shared" ca="1" si="17"/>
        <v>160.01607674463128</v>
      </c>
    </row>
    <row r="257" spans="9:13" x14ac:dyDescent="0.25">
      <c r="I257">
        <v>197</v>
      </c>
      <c r="J257">
        <f t="shared" ca="1" si="14"/>
        <v>5.5043584702579147E-2</v>
      </c>
      <c r="K257">
        <f t="shared" ca="1" si="15"/>
        <v>0.41765203432633274</v>
      </c>
      <c r="L257">
        <f t="shared" ca="1" si="16"/>
        <v>0.11933532628843044</v>
      </c>
      <c r="M257">
        <f t="shared" ca="1" si="17"/>
        <v>146.5886847844319</v>
      </c>
    </row>
    <row r="258" spans="9:13" x14ac:dyDescent="0.25">
      <c r="I258">
        <v>198</v>
      </c>
      <c r="J258">
        <f t="shared" ca="1" si="14"/>
        <v>0.10877608441194485</v>
      </c>
      <c r="K258">
        <f t="shared" ca="1" si="15"/>
        <v>0.42549984938263224</v>
      </c>
      <c r="L258">
        <f t="shared" ca="1" si="16"/>
        <v>9.7176336673192656E-2</v>
      </c>
      <c r="M258">
        <f t="shared" ca="1" si="17"/>
        <v>250.32712437164977</v>
      </c>
    </row>
    <row r="259" spans="9:13" x14ac:dyDescent="0.25">
      <c r="I259">
        <v>199</v>
      </c>
      <c r="J259">
        <f t="shared" ca="1" si="14"/>
        <v>0.12981889003364042</v>
      </c>
      <c r="K259">
        <f t="shared" ca="1" si="15"/>
        <v>0.42755275566739359</v>
      </c>
      <c r="L259">
        <f t="shared" ca="1" si="16"/>
        <v>8.4903855601686701E-2</v>
      </c>
      <c r="M259">
        <f t="shared" ca="1" si="17"/>
        <v>332.66565050203394</v>
      </c>
    </row>
    <row r="260" spans="9:13" x14ac:dyDescent="0.25">
      <c r="I260">
        <v>200</v>
      </c>
      <c r="J260">
        <f t="shared" ca="1" si="14"/>
        <v>6.7210504409899841E-2</v>
      </c>
      <c r="K260">
        <f t="shared" ca="1" si="15"/>
        <v>0.43868644879061452</v>
      </c>
      <c r="L260">
        <f t="shared" ca="1" si="16"/>
        <v>0.11482973226609863</v>
      </c>
      <c r="M260">
        <f t="shared" ca="1" si="17"/>
        <v>171.36326594045784</v>
      </c>
    </row>
    <row r="261" spans="9:13" x14ac:dyDescent="0.25">
      <c r="I261">
        <v>201</v>
      </c>
      <c r="J261">
        <f t="shared" ca="1" si="14"/>
        <v>6.2529558020709169E-2</v>
      </c>
      <c r="K261">
        <f t="shared" ca="1" si="15"/>
        <v>0.46227305404337327</v>
      </c>
      <c r="L261">
        <f t="shared" ca="1" si="16"/>
        <v>0.11040439713185586</v>
      </c>
      <c r="M261">
        <f t="shared" ca="1" si="17"/>
        <v>185.78976624129788</v>
      </c>
    </row>
    <row r="262" spans="9:13" x14ac:dyDescent="0.25">
      <c r="I262">
        <v>202</v>
      </c>
      <c r="J262">
        <f t="shared" ca="1" si="14"/>
        <v>9.1777492794947069E-2</v>
      </c>
      <c r="K262">
        <f t="shared" ca="1" si="15"/>
        <v>0.41825893764811695</v>
      </c>
      <c r="L262">
        <f t="shared" ca="1" si="16"/>
        <v>0.1110992402669546</v>
      </c>
      <c r="M262">
        <f t="shared" ca="1" si="17"/>
        <v>191.0599075508253</v>
      </c>
    </row>
    <row r="263" spans="9:13" x14ac:dyDescent="0.25">
      <c r="I263">
        <v>203</v>
      </c>
      <c r="J263">
        <f t="shared" ca="1" si="14"/>
        <v>3.3811285438728605E-3</v>
      </c>
      <c r="K263">
        <f t="shared" ca="1" si="15"/>
        <v>0.4840311020653883</v>
      </c>
      <c r="L263">
        <f t="shared" ca="1" si="16"/>
        <v>9.92237629626916E-2</v>
      </c>
      <c r="M263">
        <f t="shared" ca="1" si="17"/>
        <v>167.59999132796989</v>
      </c>
    </row>
    <row r="264" spans="9:13" x14ac:dyDescent="0.25">
      <c r="I264">
        <v>204</v>
      </c>
      <c r="J264">
        <f t="shared" ca="1" si="14"/>
        <v>5.8974478976929284E-2</v>
      </c>
      <c r="K264">
        <f t="shared" ca="1" si="15"/>
        <v>0.48784513771432458</v>
      </c>
      <c r="L264">
        <f t="shared" ca="1" si="16"/>
        <v>0.11574600844310876</v>
      </c>
      <c r="M264">
        <f t="shared" ca="1" si="17"/>
        <v>181.59665718376885</v>
      </c>
    </row>
    <row r="265" spans="9:13" x14ac:dyDescent="0.25">
      <c r="I265">
        <v>205</v>
      </c>
      <c r="J265">
        <f t="shared" ca="1" si="14"/>
        <v>0.14142128235939919</v>
      </c>
      <c r="K265">
        <f t="shared" ca="1" si="15"/>
        <v>0.43698382377531664</v>
      </c>
      <c r="L265">
        <f t="shared" ca="1" si="16"/>
        <v>0.10307240142824113</v>
      </c>
      <c r="M265">
        <f t="shared" ca="1" si="17"/>
        <v>275.23530563686478</v>
      </c>
    </row>
    <row r="266" spans="9:13" x14ac:dyDescent="0.25">
      <c r="I266">
        <v>206</v>
      </c>
      <c r="J266">
        <f t="shared" ca="1" si="14"/>
        <v>5.007449261483423E-2</v>
      </c>
      <c r="K266">
        <f t="shared" ca="1" si="15"/>
        <v>0.44809236494963417</v>
      </c>
      <c r="L266">
        <f t="shared" ca="1" si="16"/>
        <v>0.13843924174259783</v>
      </c>
      <c r="M266">
        <f t="shared" ca="1" si="17"/>
        <v>127.94767655237848</v>
      </c>
    </row>
    <row r="267" spans="9:13" x14ac:dyDescent="0.25">
      <c r="I267">
        <v>207</v>
      </c>
      <c r="J267">
        <f t="shared" ca="1" si="14"/>
        <v>5.9308349617134853E-2</v>
      </c>
      <c r="K267">
        <f t="shared" ca="1" si="15"/>
        <v>0.4220230352219389</v>
      </c>
      <c r="L267">
        <f t="shared" ca="1" si="16"/>
        <v>9.1450221310596075E-2</v>
      </c>
      <c r="M267">
        <f t="shared" ca="1" si="17"/>
        <v>214.19292652721873</v>
      </c>
    </row>
    <row r="268" spans="9:13" x14ac:dyDescent="0.25">
      <c r="I268">
        <v>208</v>
      </c>
      <c r="J268">
        <f t="shared" ca="1" si="14"/>
        <v>2.1212739599597491E-2</v>
      </c>
      <c r="K268">
        <f t="shared" ca="1" si="15"/>
        <v>0.39778670160662621</v>
      </c>
      <c r="L268">
        <f t="shared" ca="1" si="16"/>
        <v>0.11698648726976354</v>
      </c>
      <c r="M268">
        <f t="shared" ca="1" si="17"/>
        <v>121.33300128373993</v>
      </c>
    </row>
    <row r="269" spans="9:13" x14ac:dyDescent="0.25">
      <c r="I269">
        <v>209</v>
      </c>
      <c r="J269">
        <f t="shared" ca="1" si="14"/>
        <v>3.4842163945069053E-2</v>
      </c>
      <c r="K269">
        <f t="shared" ca="1" si="15"/>
        <v>0.44404146516026488</v>
      </c>
      <c r="L269">
        <f t="shared" ca="1" si="16"/>
        <v>0.1216534895092528</v>
      </c>
      <c r="M269">
        <f t="shared" ca="1" si="17"/>
        <v>138.0619374184916</v>
      </c>
    </row>
    <row r="270" spans="9:13" x14ac:dyDescent="0.25">
      <c r="I270">
        <v>210</v>
      </c>
      <c r="J270">
        <f t="shared" ca="1" si="14"/>
        <v>8.0109697738312807E-2</v>
      </c>
      <c r="K270">
        <f t="shared" ca="1" si="15"/>
        <v>0.41736184606447596</v>
      </c>
      <c r="L270">
        <f t="shared" ca="1" si="16"/>
        <v>0.10846834465977562</v>
      </c>
      <c r="M270">
        <f t="shared" ca="1" si="17"/>
        <v>186.24570923573694</v>
      </c>
    </row>
    <row r="271" spans="9:13" x14ac:dyDescent="0.25">
      <c r="I271">
        <v>211</v>
      </c>
      <c r="J271">
        <f t="shared" ca="1" si="14"/>
        <v>6.3687978177750182E-2</v>
      </c>
      <c r="K271">
        <f t="shared" ca="1" si="15"/>
        <v>0.44001649496812933</v>
      </c>
      <c r="L271">
        <f t="shared" ca="1" si="16"/>
        <v>0.11526565269347833</v>
      </c>
      <c r="M271">
        <f t="shared" ca="1" si="17"/>
        <v>168.23280792308364</v>
      </c>
    </row>
    <row r="272" spans="9:13" x14ac:dyDescent="0.25">
      <c r="I272">
        <v>212</v>
      </c>
      <c r="J272">
        <f t="shared" ca="1" si="14"/>
        <v>0.11474072001226315</v>
      </c>
      <c r="K272">
        <f t="shared" ca="1" si="15"/>
        <v>0.44841198155640388</v>
      </c>
      <c r="L272">
        <f t="shared" ca="1" si="16"/>
        <v>0.10563926054863963</v>
      </c>
      <c r="M272">
        <f t="shared" ca="1" si="17"/>
        <v>242.87458689945254</v>
      </c>
    </row>
    <row r="273" spans="9:13" x14ac:dyDescent="0.25">
      <c r="I273">
        <v>213</v>
      </c>
      <c r="J273">
        <f t="shared" ca="1" si="14"/>
        <v>6.5298126313752758E-2</v>
      </c>
      <c r="K273">
        <f t="shared" ca="1" si="15"/>
        <v>0.44797621050200415</v>
      </c>
      <c r="L273">
        <f t="shared" ca="1" si="16"/>
        <v>0.10920624846487309</v>
      </c>
      <c r="M273">
        <f t="shared" ca="1" si="17"/>
        <v>184.95017655924997</v>
      </c>
    </row>
    <row r="274" spans="9:13" x14ac:dyDescent="0.25">
      <c r="I274">
        <v>214</v>
      </c>
      <c r="J274">
        <f t="shared" ca="1" si="14"/>
        <v>9.1538871889301154E-2</v>
      </c>
      <c r="K274">
        <f t="shared" ca="1" si="15"/>
        <v>0.42512090965017652</v>
      </c>
      <c r="L274">
        <f t="shared" ca="1" si="16"/>
        <v>9.077686474152398E-2</v>
      </c>
      <c r="M274">
        <f t="shared" ca="1" si="17"/>
        <v>253.4681460337774</v>
      </c>
    </row>
    <row r="275" spans="9:13" x14ac:dyDescent="0.25">
      <c r="I275">
        <v>215</v>
      </c>
      <c r="J275">
        <f t="shared" ca="1" si="14"/>
        <v>8.5439051940863167E-2</v>
      </c>
      <c r="K275">
        <f t="shared" ca="1" si="15"/>
        <v>0.43496243235659732</v>
      </c>
      <c r="L275">
        <f t="shared" ca="1" si="16"/>
        <v>0.10367716537453625</v>
      </c>
      <c r="M275">
        <f t="shared" ca="1" si="17"/>
        <v>211.07431365303282</v>
      </c>
    </row>
    <row r="276" spans="9:13" x14ac:dyDescent="0.25">
      <c r="I276">
        <v>216</v>
      </c>
      <c r="J276">
        <f t="shared" ca="1" si="14"/>
        <v>0.11022742304534186</v>
      </c>
      <c r="K276">
        <f t="shared" ca="1" si="15"/>
        <v>0.45194309226967921</v>
      </c>
      <c r="L276">
        <f t="shared" ca="1" si="16"/>
        <v>0.13862724151567221</v>
      </c>
      <c r="M276">
        <f t="shared" ca="1" si="17"/>
        <v>170.73634874915297</v>
      </c>
    </row>
    <row r="277" spans="9:13" x14ac:dyDescent="0.25">
      <c r="I277">
        <v>217</v>
      </c>
      <c r="J277">
        <f t="shared" ca="1" si="14"/>
        <v>7.5570843214374628E-2</v>
      </c>
      <c r="K277">
        <f t="shared" ca="1" si="15"/>
        <v>0.43366647854476736</v>
      </c>
      <c r="L277">
        <f t="shared" ca="1" si="16"/>
        <v>0.12474734633216332</v>
      </c>
      <c r="M277">
        <f t="shared" ca="1" si="17"/>
        <v>158.78739272305509</v>
      </c>
    </row>
    <row r="278" spans="9:13" x14ac:dyDescent="0.25">
      <c r="I278">
        <v>218</v>
      </c>
      <c r="J278">
        <f t="shared" ca="1" si="14"/>
        <v>0.13300821559196457</v>
      </c>
      <c r="K278">
        <f t="shared" ca="1" si="15"/>
        <v>0.42293917517224122</v>
      </c>
      <c r="L278">
        <f t="shared" ca="1" si="16"/>
        <v>0.12161768673326552</v>
      </c>
      <c r="M278">
        <f t="shared" ca="1" si="17"/>
        <v>207.74266913151888</v>
      </c>
    </row>
    <row r="279" spans="9:13" x14ac:dyDescent="0.25">
      <c r="I279">
        <v>219</v>
      </c>
      <c r="J279">
        <f t="shared" ca="1" si="14"/>
        <v>9.4563294879545345E-2</v>
      </c>
      <c r="K279">
        <f t="shared" ca="1" si="15"/>
        <v>0.46629119133335994</v>
      </c>
      <c r="L279">
        <f t="shared" ca="1" si="16"/>
        <v>0.10870896893931024</v>
      </c>
      <c r="M279">
        <f t="shared" ca="1" si="17"/>
        <v>222.05036161927052</v>
      </c>
    </row>
    <row r="280" spans="9:13" x14ac:dyDescent="0.25">
      <c r="I280">
        <v>220</v>
      </c>
      <c r="J280">
        <f t="shared" ca="1" si="14"/>
        <v>0.16220794025435664</v>
      </c>
      <c r="K280">
        <f t="shared" ca="1" si="15"/>
        <v>0.42158620368870597</v>
      </c>
      <c r="L280">
        <f t="shared" ca="1" si="16"/>
        <v>9.7506083164054444E-2</v>
      </c>
      <c r="M280">
        <f t="shared" ca="1" si="17"/>
        <v>312.8126718706402</v>
      </c>
    </row>
    <row r="281" spans="9:13" x14ac:dyDescent="0.25">
      <c r="I281">
        <v>221</v>
      </c>
      <c r="J281">
        <f t="shared" ca="1" si="14"/>
        <v>6.9874043349025083E-2</v>
      </c>
      <c r="K281">
        <f t="shared" ca="1" si="15"/>
        <v>0.40981854524860917</v>
      </c>
      <c r="L281">
        <f t="shared" ca="1" si="16"/>
        <v>0.10749938208682339</v>
      </c>
      <c r="M281">
        <f t="shared" ca="1" si="17"/>
        <v>176.31088159627652</v>
      </c>
    </row>
    <row r="282" spans="9:13" x14ac:dyDescent="0.25">
      <c r="I282">
        <v>222</v>
      </c>
      <c r="J282">
        <f t="shared" ca="1" si="14"/>
        <v>4.2447152719121271E-2</v>
      </c>
      <c r="K282">
        <f t="shared" ca="1" si="15"/>
        <v>0.42307371955336714</v>
      </c>
      <c r="L282">
        <f t="shared" ca="1" si="16"/>
        <v>8.1124549427047735E-2</v>
      </c>
      <c r="M282">
        <f t="shared" ca="1" si="17"/>
        <v>234.30355835735904</v>
      </c>
    </row>
    <row r="283" spans="9:13" x14ac:dyDescent="0.25">
      <c r="I283">
        <v>223</v>
      </c>
      <c r="J283">
        <f t="shared" ca="1" si="14"/>
        <v>8.8251782406100501E-2</v>
      </c>
      <c r="K283">
        <f t="shared" ca="1" si="15"/>
        <v>0.38026763418320569</v>
      </c>
      <c r="L283">
        <f t="shared" ca="1" si="16"/>
        <v>0.10643978293278299</v>
      </c>
      <c r="M283">
        <f t="shared" ca="1" si="17"/>
        <v>180.45935830070161</v>
      </c>
    </row>
    <row r="284" spans="9:13" x14ac:dyDescent="0.25">
      <c r="I284">
        <v>224</v>
      </c>
      <c r="J284">
        <f t="shared" ca="1" si="14"/>
        <v>0.10918455457587897</v>
      </c>
      <c r="K284">
        <f t="shared" ca="1" si="15"/>
        <v>0.45215326057881156</v>
      </c>
      <c r="L284">
        <f t="shared" ca="1" si="16"/>
        <v>0.11253035147072281</v>
      </c>
      <c r="M284">
        <f t="shared" ca="1" si="17"/>
        <v>220.18069790262624</v>
      </c>
    </row>
    <row r="285" spans="9:13" x14ac:dyDescent="0.25">
      <c r="I285">
        <v>225</v>
      </c>
      <c r="J285">
        <f t="shared" ca="1" si="14"/>
        <v>9.6753151167018062E-2</v>
      </c>
      <c r="K285">
        <f t="shared" ca="1" si="15"/>
        <v>0.41384645499252692</v>
      </c>
      <c r="L285">
        <f t="shared" ca="1" si="16"/>
        <v>0.12105701743143646</v>
      </c>
      <c r="M285">
        <f t="shared" ca="1" si="17"/>
        <v>173.50343852374328</v>
      </c>
    </row>
    <row r="286" spans="9:13" x14ac:dyDescent="0.25">
      <c r="I286">
        <v>226</v>
      </c>
      <c r="J286">
        <f t="shared" ca="1" si="14"/>
        <v>8.1882958031013614E-2</v>
      </c>
      <c r="K286">
        <f t="shared" ca="1" si="15"/>
        <v>0.49572219248644828</v>
      </c>
      <c r="L286">
        <f t="shared" ca="1" si="16"/>
        <v>0.10989334037004121</v>
      </c>
      <c r="M286">
        <f t="shared" ca="1" si="17"/>
        <v>219.62758052791526</v>
      </c>
    </row>
    <row r="287" spans="9:13" x14ac:dyDescent="0.25">
      <c r="I287">
        <v>227</v>
      </c>
      <c r="J287">
        <f t="shared" ca="1" si="14"/>
        <v>3.4675319723671577E-2</v>
      </c>
      <c r="K287">
        <f t="shared" ca="1" si="15"/>
        <v>0.47308856136050803</v>
      </c>
      <c r="L287">
        <f t="shared" ca="1" si="16"/>
        <v>0.1102898800167733</v>
      </c>
      <c r="M287">
        <f t="shared" ca="1" si="17"/>
        <v>166.54578269579474</v>
      </c>
    </row>
    <row r="288" spans="9:13" x14ac:dyDescent="0.25">
      <c r="I288">
        <v>228</v>
      </c>
      <c r="J288">
        <f t="shared" ca="1" si="14"/>
        <v>4.6563592933494012E-2</v>
      </c>
      <c r="K288">
        <f t="shared" ca="1" si="15"/>
        <v>0.41343322807892458</v>
      </c>
      <c r="L288">
        <f t="shared" ca="1" si="16"/>
        <v>0.11815238895736238</v>
      </c>
      <c r="M288">
        <f t="shared" ca="1" si="17"/>
        <v>141.05138938257875</v>
      </c>
    </row>
    <row r="289" spans="9:13" x14ac:dyDescent="0.25">
      <c r="I289">
        <v>229</v>
      </c>
      <c r="J289">
        <f t="shared" ca="1" si="14"/>
        <v>9.4630366103402946E-2</v>
      </c>
      <c r="K289">
        <f t="shared" ca="1" si="15"/>
        <v>0.45337644156792112</v>
      </c>
      <c r="L289">
        <f t="shared" ca="1" si="16"/>
        <v>9.625401421576682E-2</v>
      </c>
      <c r="M289">
        <f t="shared" ca="1" si="17"/>
        <v>253.35414632746321</v>
      </c>
    </row>
    <row r="290" spans="9:13" x14ac:dyDescent="0.25">
      <c r="I290">
        <v>230</v>
      </c>
      <c r="J290">
        <f t="shared" ca="1" si="14"/>
        <v>7.1429123589174873E-2</v>
      </c>
      <c r="K290">
        <f t="shared" ca="1" si="15"/>
        <v>0.40851863262338944</v>
      </c>
      <c r="L290">
        <f t="shared" ca="1" si="16"/>
        <v>0.12435204798440971</v>
      </c>
      <c r="M290">
        <f t="shared" ca="1" si="17"/>
        <v>147.18163185830016</v>
      </c>
    </row>
    <row r="291" spans="9:13" x14ac:dyDescent="0.25">
      <c r="I291">
        <v>231</v>
      </c>
      <c r="J291">
        <f t="shared" ca="1" si="14"/>
        <v>8.9376677907148969E-2</v>
      </c>
      <c r="K291">
        <f t="shared" ca="1" si="15"/>
        <v>0.46845706948242855</v>
      </c>
      <c r="L291">
        <f t="shared" ca="1" si="16"/>
        <v>0.11608325847894088</v>
      </c>
      <c r="M291">
        <f t="shared" ca="1" si="17"/>
        <v>200.31895551202393</v>
      </c>
    </row>
    <row r="292" spans="9:13" x14ac:dyDescent="0.25">
      <c r="I292">
        <v>232</v>
      </c>
      <c r="J292">
        <f t="shared" ca="1" si="14"/>
        <v>6.8805869438155629E-2</v>
      </c>
      <c r="K292">
        <f t="shared" ca="1" si="15"/>
        <v>0.3703679177949134</v>
      </c>
      <c r="L292">
        <f t="shared" ca="1" si="16"/>
        <v>0.10597980022020081</v>
      </c>
      <c r="M292">
        <f t="shared" ca="1" si="17"/>
        <v>161.34282063001211</v>
      </c>
    </row>
    <row r="293" spans="9:13" x14ac:dyDescent="0.25">
      <c r="I293">
        <v>233</v>
      </c>
      <c r="J293">
        <f t="shared" ca="1" si="14"/>
        <v>9.546831037938576E-2</v>
      </c>
      <c r="K293">
        <f t="shared" ca="1" si="15"/>
        <v>0.45823833542768611</v>
      </c>
      <c r="L293">
        <f t="shared" ca="1" si="16"/>
        <v>0.12036719915709133</v>
      </c>
      <c r="M293">
        <f t="shared" ca="1" si="17"/>
        <v>192.52137601259946</v>
      </c>
    </row>
    <row r="294" spans="9:13" x14ac:dyDescent="0.25">
      <c r="I294">
        <v>234</v>
      </c>
      <c r="J294">
        <f t="shared" ca="1" si="14"/>
        <v>0.14021543569050748</v>
      </c>
      <c r="K294">
        <f t="shared" ca="1" si="15"/>
        <v>0.45895883746291982</v>
      </c>
      <c r="L294">
        <f t="shared" ca="1" si="16"/>
        <v>0.12251776473894695</v>
      </c>
      <c r="M294">
        <f t="shared" ca="1" si="17"/>
        <v>230.75788807514454</v>
      </c>
    </row>
    <row r="295" spans="9:13" x14ac:dyDescent="0.25">
      <c r="I295">
        <v>235</v>
      </c>
      <c r="J295">
        <f t="shared" ca="1" si="14"/>
        <v>0.12761758432093037</v>
      </c>
      <c r="K295">
        <f t="shared" ca="1" si="15"/>
        <v>0.43242107297958204</v>
      </c>
      <c r="L295">
        <f t="shared" ca="1" si="16"/>
        <v>0.11585108818335949</v>
      </c>
      <c r="M295">
        <f t="shared" ca="1" si="17"/>
        <v>220.43349202849782</v>
      </c>
    </row>
    <row r="296" spans="9:13" x14ac:dyDescent="0.25">
      <c r="I296">
        <v>236</v>
      </c>
      <c r="J296">
        <f t="shared" ca="1" si="14"/>
        <v>7.9409208984240948E-2</v>
      </c>
      <c r="K296">
        <f t="shared" ca="1" si="15"/>
        <v>0.39717820661234293</v>
      </c>
      <c r="L296">
        <f t="shared" ca="1" si="16"/>
        <v>9.4565403421568314E-2</v>
      </c>
      <c r="M296">
        <f t="shared" ca="1" si="17"/>
        <v>211.63947366425194</v>
      </c>
    </row>
    <row r="297" spans="9:13" x14ac:dyDescent="0.25">
      <c r="I297">
        <v>237</v>
      </c>
      <c r="J297">
        <f t="shared" ca="1" si="14"/>
        <v>0.13489695113019423</v>
      </c>
      <c r="K297">
        <f t="shared" ca="1" si="15"/>
        <v>0.43038800133775923</v>
      </c>
      <c r="L297">
        <f t="shared" ca="1" si="16"/>
        <v>9.7043584826591367E-2</v>
      </c>
      <c r="M297">
        <f t="shared" ca="1" si="17"/>
        <v>285.20164405951181</v>
      </c>
    </row>
    <row r="298" spans="9:13" x14ac:dyDescent="0.25">
      <c r="I298">
        <v>238</v>
      </c>
      <c r="J298">
        <f t="shared" ca="1" si="14"/>
        <v>9.4141489103721471E-2</v>
      </c>
      <c r="K298">
        <f t="shared" ca="1" si="15"/>
        <v>0.46410824670071954</v>
      </c>
      <c r="L298">
        <f t="shared" ca="1" si="16"/>
        <v>0.10377166757204596</v>
      </c>
      <c r="M298">
        <f t="shared" ca="1" si="17"/>
        <v>234.28679898221307</v>
      </c>
    </row>
    <row r="299" spans="9:13" x14ac:dyDescent="0.25">
      <c r="I299">
        <v>239</v>
      </c>
      <c r="J299">
        <f t="shared" ca="1" si="14"/>
        <v>7.4437739764285998E-2</v>
      </c>
      <c r="K299">
        <f t="shared" ca="1" si="15"/>
        <v>0.41646122500662042</v>
      </c>
      <c r="L299">
        <f t="shared" ca="1" si="16"/>
        <v>0.1220326847407332</v>
      </c>
      <c r="M299">
        <f t="shared" ca="1" si="17"/>
        <v>155.82845508870093</v>
      </c>
    </row>
    <row r="300" spans="9:13" x14ac:dyDescent="0.25">
      <c r="I300">
        <v>240</v>
      </c>
      <c r="J300">
        <f t="shared" ca="1" si="14"/>
        <v>2.4514163479938393E-2</v>
      </c>
      <c r="K300">
        <f t="shared" ca="1" si="15"/>
        <v>0.4344348276130498</v>
      </c>
      <c r="L300">
        <f t="shared" ca="1" si="16"/>
        <v>9.6634464767490783E-2</v>
      </c>
      <c r="M300">
        <f t="shared" ca="1" si="17"/>
        <v>172.94989909058344</v>
      </c>
    </row>
    <row r="301" spans="9:13" x14ac:dyDescent="0.25">
      <c r="I301">
        <v>241</v>
      </c>
      <c r="J301">
        <f t="shared" ca="1" si="14"/>
        <v>4.1485884977537371E-2</v>
      </c>
      <c r="K301">
        <f t="shared" ca="1" si="15"/>
        <v>0.39835977005855649</v>
      </c>
      <c r="L301">
        <f t="shared" ca="1" si="16"/>
        <v>0.1159497983796367</v>
      </c>
      <c r="M301">
        <f t="shared" ca="1" si="17"/>
        <v>135.74504134816621</v>
      </c>
    </row>
    <row r="302" spans="9:13" x14ac:dyDescent="0.25">
      <c r="I302">
        <v>242</v>
      </c>
      <c r="J302">
        <f t="shared" ca="1" si="14"/>
        <v>9.1775203734341629E-2</v>
      </c>
      <c r="K302">
        <f t="shared" ca="1" si="15"/>
        <v>0.42164823954126496</v>
      </c>
      <c r="L302">
        <f t="shared" ca="1" si="16"/>
        <v>0.10861827463966771</v>
      </c>
      <c r="M302">
        <f t="shared" ca="1" si="17"/>
        <v>198.29147017891978</v>
      </c>
    </row>
    <row r="303" spans="9:13" x14ac:dyDescent="0.25">
      <c r="I303">
        <v>243</v>
      </c>
      <c r="J303">
        <f t="shared" ca="1" si="14"/>
        <v>7.5689257424769049E-2</v>
      </c>
      <c r="K303">
        <f t="shared" ca="1" si="15"/>
        <v>0.40509145345722974</v>
      </c>
      <c r="L303">
        <f t="shared" ca="1" si="16"/>
        <v>0.14337764780068094</v>
      </c>
      <c r="M303">
        <f t="shared" ca="1" si="17"/>
        <v>125.1035310975293</v>
      </c>
    </row>
    <row r="304" spans="9:13" x14ac:dyDescent="0.25">
      <c r="I304">
        <v>244</v>
      </c>
      <c r="J304">
        <f t="shared" ca="1" si="14"/>
        <v>0.11810648211502256</v>
      </c>
      <c r="K304">
        <f t="shared" ca="1" si="15"/>
        <v>0.41492278376894809</v>
      </c>
      <c r="L304">
        <f t="shared" ca="1" si="16"/>
        <v>0.11448125329753177</v>
      </c>
      <c r="M304">
        <f t="shared" ca="1" si="17"/>
        <v>205.69200209984902</v>
      </c>
    </row>
    <row r="305" spans="9:13" x14ac:dyDescent="0.25">
      <c r="I305">
        <v>245</v>
      </c>
      <c r="J305">
        <f t="shared" ca="1" si="14"/>
        <v>6.4952444357228301E-2</v>
      </c>
      <c r="K305">
        <f t="shared" ca="1" si="15"/>
        <v>0.41957672106145155</v>
      </c>
      <c r="L305">
        <f t="shared" ca="1" si="16"/>
        <v>9.2565401561770844E-2</v>
      </c>
      <c r="M305">
        <f t="shared" ca="1" si="17"/>
        <v>215.12866050061982</v>
      </c>
    </row>
    <row r="306" spans="9:13" x14ac:dyDescent="0.25">
      <c r="I306">
        <v>246</v>
      </c>
      <c r="J306">
        <f t="shared" ca="1" si="14"/>
        <v>4.7483389868780541E-2</v>
      </c>
      <c r="K306">
        <f t="shared" ca="1" si="15"/>
        <v>0.4392038444910244</v>
      </c>
      <c r="L306">
        <f t="shared" ca="1" si="16"/>
        <v>0.11215786455839788</v>
      </c>
      <c r="M306">
        <f t="shared" ca="1" si="17"/>
        <v>160.90369567378434</v>
      </c>
    </row>
    <row r="307" spans="9:13" x14ac:dyDescent="0.25">
      <c r="I307">
        <v>247</v>
      </c>
      <c r="J307">
        <f t="shared" ca="1" si="14"/>
        <v>0.13864053227829728</v>
      </c>
      <c r="K307">
        <f t="shared" ca="1" si="15"/>
        <v>0.44192068055659406</v>
      </c>
      <c r="L307">
        <f t="shared" ca="1" si="16"/>
        <v>0.11785404478890868</v>
      </c>
      <c r="M307">
        <f t="shared" ca="1" si="17"/>
        <v>231.56269264679906</v>
      </c>
    </row>
    <row r="308" spans="9:13" x14ac:dyDescent="0.25">
      <c r="I308">
        <v>248</v>
      </c>
      <c r="J308">
        <f t="shared" ca="1" si="14"/>
        <v>4.5313850688106748E-2</v>
      </c>
      <c r="K308">
        <f t="shared" ca="1" si="15"/>
        <v>0.4504651744220865</v>
      </c>
      <c r="L308">
        <f t="shared" ca="1" si="16"/>
        <v>0.10089828815704799</v>
      </c>
      <c r="M308">
        <f t="shared" ca="1" si="17"/>
        <v>187.43030226049433</v>
      </c>
    </row>
    <row r="309" spans="9:13" x14ac:dyDescent="0.25">
      <c r="I309">
        <v>249</v>
      </c>
      <c r="J309">
        <f t="shared" ca="1" si="14"/>
        <v>0.11221062414014933</v>
      </c>
      <c r="K309">
        <f t="shared" ca="1" si="15"/>
        <v>0.43876338884197985</v>
      </c>
      <c r="L309">
        <f t="shared" ca="1" si="16"/>
        <v>0.10399306364247915</v>
      </c>
      <c r="M309">
        <f t="shared" ca="1" si="17"/>
        <v>239.76823772025048</v>
      </c>
    </row>
    <row r="310" spans="9:13" x14ac:dyDescent="0.25">
      <c r="I310">
        <v>250</v>
      </c>
      <c r="J310">
        <f t="shared" ca="1" si="14"/>
        <v>0.11273896332303218</v>
      </c>
      <c r="K310">
        <f t="shared" ca="1" si="15"/>
        <v>0.45173172489122793</v>
      </c>
      <c r="L310">
        <f t="shared" ca="1" si="16"/>
        <v>0.10486024875485407</v>
      </c>
      <c r="M310">
        <f t="shared" ca="1" si="17"/>
        <v>244.8268030463652</v>
      </c>
    </row>
    <row r="311" spans="9:13" x14ac:dyDescent="0.25">
      <c r="I311">
        <v>251</v>
      </c>
      <c r="J311">
        <f t="shared" ca="1" si="14"/>
        <v>9.298457812488517E-2</v>
      </c>
      <c r="K311">
        <f t="shared" ca="1" si="15"/>
        <v>0.44214811123809689</v>
      </c>
      <c r="L311">
        <f t="shared" ca="1" si="16"/>
        <v>0.10402603771427389</v>
      </c>
      <c r="M311">
        <f t="shared" ca="1" si="17"/>
        <v>221.23215544639172</v>
      </c>
    </row>
    <row r="312" spans="9:13" x14ac:dyDescent="0.25">
      <c r="I312">
        <v>252</v>
      </c>
      <c r="J312">
        <f t="shared" ca="1" si="14"/>
        <v>0.11283992474974598</v>
      </c>
      <c r="K312">
        <f t="shared" ca="1" si="15"/>
        <v>0.41480440258576767</v>
      </c>
      <c r="L312">
        <f t="shared" ca="1" si="16"/>
        <v>0.11984520993517439</v>
      </c>
      <c r="M312">
        <f t="shared" ca="1" si="17"/>
        <v>189.53271889066974</v>
      </c>
    </row>
    <row r="313" spans="9:13" x14ac:dyDescent="0.25">
      <c r="I313">
        <v>253</v>
      </c>
      <c r="J313">
        <f t="shared" ca="1" si="14"/>
        <v>7.6051481919727354E-2</v>
      </c>
      <c r="K313">
        <f t="shared" ca="1" si="15"/>
        <v>0.39517181304592325</v>
      </c>
      <c r="L313">
        <f t="shared" ca="1" si="16"/>
        <v>0.10680976177884327</v>
      </c>
      <c r="M313">
        <f t="shared" ca="1" si="17"/>
        <v>176.42871112099525</v>
      </c>
    </row>
    <row r="314" spans="9:13" x14ac:dyDescent="0.25">
      <c r="I314">
        <v>254</v>
      </c>
      <c r="J314">
        <f t="shared" ca="1" si="14"/>
        <v>7.7870215700132098E-2</v>
      </c>
      <c r="K314">
        <f t="shared" ca="1" si="15"/>
        <v>0.38822254312079763</v>
      </c>
      <c r="L314">
        <f t="shared" ca="1" si="16"/>
        <v>9.4616832353488098E-2</v>
      </c>
      <c r="M314">
        <f t="shared" ca="1" si="17"/>
        <v>205.19959958200383</v>
      </c>
    </row>
    <row r="315" spans="9:13" x14ac:dyDescent="0.25">
      <c r="I315">
        <v>255</v>
      </c>
      <c r="J315">
        <f t="shared" ca="1" si="14"/>
        <v>5.1576468300402981E-2</v>
      </c>
      <c r="K315">
        <f t="shared" ca="1" si="15"/>
        <v>0.44890457023028246</v>
      </c>
      <c r="L315">
        <f t="shared" ca="1" si="16"/>
        <v>0.10348930691168357</v>
      </c>
      <c r="M315">
        <f t="shared" ca="1" si="17"/>
        <v>186.16941126675889</v>
      </c>
    </row>
    <row r="316" spans="9:13" x14ac:dyDescent="0.25">
      <c r="I316">
        <v>256</v>
      </c>
      <c r="J316">
        <f t="shared" ca="1" si="14"/>
        <v>7.3046126269918604E-2</v>
      </c>
      <c r="K316">
        <f t="shared" ca="1" si="15"/>
        <v>0.47384110634439769</v>
      </c>
      <c r="L316">
        <f t="shared" ca="1" si="16"/>
        <v>0.11260354400303731</v>
      </c>
      <c r="M316">
        <f t="shared" ca="1" si="17"/>
        <v>195.18545330771607</v>
      </c>
    </row>
    <row r="317" spans="9:13" x14ac:dyDescent="0.25">
      <c r="I317">
        <v>257</v>
      </c>
      <c r="J317">
        <f t="shared" ca="1" si="14"/>
        <v>7.800211212399355E-2</v>
      </c>
      <c r="K317">
        <f t="shared" ca="1" si="15"/>
        <v>0.39637045327088843</v>
      </c>
      <c r="L317">
        <f t="shared" ca="1" si="16"/>
        <v>0.11514417215946784</v>
      </c>
      <c r="M317">
        <f t="shared" ca="1" si="17"/>
        <v>162.17922605518402</v>
      </c>
    </row>
    <row r="318" spans="9:13" x14ac:dyDescent="0.25">
      <c r="I318">
        <v>258</v>
      </c>
      <c r="J318">
        <f t="shared" ref="J318:J381" ca="1" si="18">_xlfn.NORM.INV(RAND(),0.085,0.03)</f>
        <v>7.8508551104482835E-2</v>
      </c>
      <c r="K318">
        <f t="shared" ref="K318:K381" ca="1" si="19">_xlfn.NORM.INV(RAND(),0.435,0.03)</f>
        <v>0.43971260095189457</v>
      </c>
      <c r="L318">
        <f t="shared" ref="L318:L381" ca="1" si="20">_xlfn.NORM.INV(RAND(),0.1106,0.01)</f>
        <v>0.13276383931148206</v>
      </c>
      <c r="M318">
        <f t="shared" ref="M318:M381" ca="1" si="21">((416.161*(1+J318)^5*K318*(1-(1+L318)^-5)/L318)+(416.161*(1+J318)^5*K318*(1+0.025)/(L318-0.025)*(1+L318)^-5)-78.328+54.697)/15.02</f>
        <v>151.19945164703583</v>
      </c>
    </row>
    <row r="319" spans="9:13" x14ac:dyDescent="0.25">
      <c r="I319">
        <v>259</v>
      </c>
      <c r="J319">
        <f t="shared" ca="1" si="18"/>
        <v>0.12060127450794887</v>
      </c>
      <c r="K319">
        <f t="shared" ca="1" si="19"/>
        <v>0.47023563939322749</v>
      </c>
      <c r="L319">
        <f t="shared" ca="1" si="20"/>
        <v>0.11627879012827254</v>
      </c>
      <c r="M319">
        <f t="shared" ca="1" si="21"/>
        <v>231.35067070433141</v>
      </c>
    </row>
    <row r="320" spans="9:13" x14ac:dyDescent="0.25">
      <c r="I320">
        <v>260</v>
      </c>
      <c r="J320">
        <f t="shared" ca="1" si="18"/>
        <v>6.6264799673904584E-2</v>
      </c>
      <c r="K320">
        <f t="shared" ca="1" si="19"/>
        <v>0.3921429355568074</v>
      </c>
      <c r="L320">
        <f t="shared" ca="1" si="20"/>
        <v>0.12167221473613318</v>
      </c>
      <c r="M320">
        <f t="shared" ca="1" si="21"/>
        <v>141.60854328503805</v>
      </c>
    </row>
    <row r="321" spans="9:13" x14ac:dyDescent="0.25">
      <c r="I321">
        <v>261</v>
      </c>
      <c r="J321">
        <f t="shared" ca="1" si="18"/>
        <v>8.1672060351337158E-2</v>
      </c>
      <c r="K321">
        <f t="shared" ca="1" si="19"/>
        <v>0.42090195044859763</v>
      </c>
      <c r="L321">
        <f t="shared" ca="1" si="20"/>
        <v>0.11885322381493928</v>
      </c>
      <c r="M321">
        <f t="shared" ca="1" si="21"/>
        <v>168.41459080797537</v>
      </c>
    </row>
    <row r="322" spans="9:13" x14ac:dyDescent="0.25">
      <c r="I322">
        <v>262</v>
      </c>
      <c r="J322">
        <f t="shared" ca="1" si="18"/>
        <v>5.9072869205681E-2</v>
      </c>
      <c r="K322">
        <f t="shared" ca="1" si="19"/>
        <v>0.44386052103622781</v>
      </c>
      <c r="L322">
        <f t="shared" ca="1" si="20"/>
        <v>9.480757936438855E-2</v>
      </c>
      <c r="M322">
        <f t="shared" ca="1" si="21"/>
        <v>214.3421228522017</v>
      </c>
    </row>
    <row r="323" spans="9:13" x14ac:dyDescent="0.25">
      <c r="I323">
        <v>263</v>
      </c>
      <c r="J323">
        <f t="shared" ca="1" si="18"/>
        <v>5.4100518773937394E-2</v>
      </c>
      <c r="K323">
        <f t="shared" ca="1" si="19"/>
        <v>0.41862906234681352</v>
      </c>
      <c r="L323">
        <f t="shared" ca="1" si="20"/>
        <v>9.5573027643474404E-2</v>
      </c>
      <c r="M323">
        <f t="shared" ca="1" si="21"/>
        <v>195.20369904475618</v>
      </c>
    </row>
    <row r="324" spans="9:13" x14ac:dyDescent="0.25">
      <c r="I324">
        <v>264</v>
      </c>
      <c r="J324">
        <f t="shared" ca="1" si="18"/>
        <v>7.8123962640200439E-2</v>
      </c>
      <c r="K324">
        <f t="shared" ca="1" si="19"/>
        <v>0.4327784922921834</v>
      </c>
      <c r="L324">
        <f t="shared" ca="1" si="20"/>
        <v>0.12014362589797295</v>
      </c>
      <c r="M324">
        <f t="shared" ca="1" si="21"/>
        <v>168.06925876526466</v>
      </c>
    </row>
    <row r="325" spans="9:13" x14ac:dyDescent="0.25">
      <c r="I325">
        <v>265</v>
      </c>
      <c r="J325">
        <f t="shared" ca="1" si="18"/>
        <v>7.9278895310757061E-2</v>
      </c>
      <c r="K325">
        <f t="shared" ca="1" si="19"/>
        <v>0.48902273705957944</v>
      </c>
      <c r="L325">
        <f t="shared" ca="1" si="20"/>
        <v>0.11229388015144674</v>
      </c>
      <c r="M325">
        <f t="shared" ca="1" si="21"/>
        <v>208.18579493687366</v>
      </c>
    </row>
    <row r="326" spans="9:13" x14ac:dyDescent="0.25">
      <c r="I326">
        <v>266</v>
      </c>
      <c r="J326">
        <f t="shared" ca="1" si="18"/>
        <v>0.10286530849887994</v>
      </c>
      <c r="K326">
        <f t="shared" ca="1" si="19"/>
        <v>0.40257027807603185</v>
      </c>
      <c r="L326">
        <f t="shared" ca="1" si="20"/>
        <v>0.11369692903116817</v>
      </c>
      <c r="M326">
        <f t="shared" ca="1" si="21"/>
        <v>187.81834549842353</v>
      </c>
    </row>
    <row r="327" spans="9:13" x14ac:dyDescent="0.25">
      <c r="I327">
        <v>267</v>
      </c>
      <c r="J327">
        <f t="shared" ca="1" si="18"/>
        <v>0.11996006100088194</v>
      </c>
      <c r="K327">
        <f t="shared" ca="1" si="19"/>
        <v>0.43073162899516887</v>
      </c>
      <c r="L327">
        <f t="shared" ca="1" si="20"/>
        <v>0.1000883512501704</v>
      </c>
      <c r="M327">
        <f t="shared" ca="1" si="21"/>
        <v>256.28954889687861</v>
      </c>
    </row>
    <row r="328" spans="9:13" x14ac:dyDescent="0.25">
      <c r="I328">
        <v>268</v>
      </c>
      <c r="J328">
        <f t="shared" ca="1" si="18"/>
        <v>6.3376669427794144E-2</v>
      </c>
      <c r="K328">
        <f t="shared" ca="1" si="19"/>
        <v>0.48388571012358073</v>
      </c>
      <c r="L328">
        <f t="shared" ca="1" si="20"/>
        <v>0.10356056650721916</v>
      </c>
      <c r="M328">
        <f t="shared" ca="1" si="21"/>
        <v>212.22033771838133</v>
      </c>
    </row>
    <row r="329" spans="9:13" x14ac:dyDescent="0.25">
      <c r="I329">
        <v>269</v>
      </c>
      <c r="J329">
        <f t="shared" ca="1" si="18"/>
        <v>4.7944647081509049E-2</v>
      </c>
      <c r="K329">
        <f t="shared" ca="1" si="19"/>
        <v>0.43153856781153438</v>
      </c>
      <c r="L329">
        <f t="shared" ca="1" si="20"/>
        <v>0.11566283412556148</v>
      </c>
      <c r="M329">
        <f t="shared" ca="1" si="21"/>
        <v>152.330030002732</v>
      </c>
    </row>
    <row r="330" spans="9:13" x14ac:dyDescent="0.25">
      <c r="I330">
        <v>270</v>
      </c>
      <c r="J330">
        <f t="shared" ca="1" si="18"/>
        <v>6.5287312605079154E-2</v>
      </c>
      <c r="K330">
        <f t="shared" ca="1" si="19"/>
        <v>0.44824318111237593</v>
      </c>
      <c r="L330">
        <f t="shared" ca="1" si="20"/>
        <v>0.11828026057418244</v>
      </c>
      <c r="M330">
        <f t="shared" ca="1" si="21"/>
        <v>167.16847212894791</v>
      </c>
    </row>
    <row r="331" spans="9:13" x14ac:dyDescent="0.25">
      <c r="I331">
        <v>271</v>
      </c>
      <c r="J331">
        <f t="shared" ca="1" si="18"/>
        <v>0.11127332620984089</v>
      </c>
      <c r="K331">
        <f t="shared" ca="1" si="19"/>
        <v>0.44805640716710765</v>
      </c>
      <c r="L331">
        <f t="shared" ca="1" si="20"/>
        <v>0.10961963601096464</v>
      </c>
      <c r="M331">
        <f t="shared" ca="1" si="21"/>
        <v>227.75906212329807</v>
      </c>
    </row>
    <row r="332" spans="9:13" x14ac:dyDescent="0.25">
      <c r="I332">
        <v>272</v>
      </c>
      <c r="J332">
        <f t="shared" ca="1" si="18"/>
        <v>9.6796756899646758E-2</v>
      </c>
      <c r="K332">
        <f t="shared" ca="1" si="19"/>
        <v>0.45349538770256725</v>
      </c>
      <c r="L332">
        <f t="shared" ca="1" si="20"/>
        <v>0.11065504913993235</v>
      </c>
      <c r="M332">
        <f t="shared" ca="1" si="21"/>
        <v>213.22494797883004</v>
      </c>
    </row>
    <row r="333" spans="9:13" x14ac:dyDescent="0.25">
      <c r="I333">
        <v>273</v>
      </c>
      <c r="J333">
        <f t="shared" ca="1" si="18"/>
        <v>3.3800519080875009E-2</v>
      </c>
      <c r="K333">
        <f t="shared" ca="1" si="19"/>
        <v>0.4282041596853548</v>
      </c>
      <c r="L333">
        <f t="shared" ca="1" si="20"/>
        <v>0.10980199033539005</v>
      </c>
      <c r="M333">
        <f t="shared" ca="1" si="21"/>
        <v>150.81167593050591</v>
      </c>
    </row>
    <row r="334" spans="9:13" x14ac:dyDescent="0.25">
      <c r="I334">
        <v>274</v>
      </c>
      <c r="J334">
        <f t="shared" ca="1" si="18"/>
        <v>9.9427875147312578E-2</v>
      </c>
      <c r="K334">
        <f t="shared" ca="1" si="19"/>
        <v>0.44868100907744596</v>
      </c>
      <c r="L334">
        <f t="shared" ca="1" si="20"/>
        <v>0.10886322306885131</v>
      </c>
      <c r="M334">
        <f t="shared" ca="1" si="21"/>
        <v>218.03061213996199</v>
      </c>
    </row>
    <row r="335" spans="9:13" x14ac:dyDescent="0.25">
      <c r="I335">
        <v>275</v>
      </c>
      <c r="J335">
        <f t="shared" ca="1" si="18"/>
        <v>8.6908378765742353E-2</v>
      </c>
      <c r="K335">
        <f t="shared" ca="1" si="19"/>
        <v>0.39815400842509419</v>
      </c>
      <c r="L335">
        <f t="shared" ca="1" si="20"/>
        <v>0.10576684807304766</v>
      </c>
      <c r="M335">
        <f t="shared" ca="1" si="21"/>
        <v>189.40280608182957</v>
      </c>
    </row>
    <row r="336" spans="9:13" x14ac:dyDescent="0.25">
      <c r="I336">
        <v>276</v>
      </c>
      <c r="J336">
        <f t="shared" ca="1" si="18"/>
        <v>8.2259846732369565E-2</v>
      </c>
      <c r="K336">
        <f t="shared" ca="1" si="19"/>
        <v>0.42442427667420485</v>
      </c>
      <c r="L336">
        <f t="shared" ca="1" si="20"/>
        <v>0.10585595290068675</v>
      </c>
      <c r="M336">
        <f t="shared" ca="1" si="21"/>
        <v>197.47083979519834</v>
      </c>
    </row>
    <row r="337" spans="9:13" x14ac:dyDescent="0.25">
      <c r="I337">
        <v>277</v>
      </c>
      <c r="J337">
        <f t="shared" ca="1" si="18"/>
        <v>8.3777938989487669E-2</v>
      </c>
      <c r="K337">
        <f t="shared" ca="1" si="19"/>
        <v>0.44920367148797069</v>
      </c>
      <c r="L337">
        <f t="shared" ca="1" si="20"/>
        <v>9.8666577348565793E-2</v>
      </c>
      <c r="M337">
        <f t="shared" ca="1" si="21"/>
        <v>230.96844762594517</v>
      </c>
    </row>
    <row r="338" spans="9:13" x14ac:dyDescent="0.25">
      <c r="I338">
        <v>278</v>
      </c>
      <c r="J338">
        <f t="shared" ca="1" si="18"/>
        <v>8.8466950202163247E-2</v>
      </c>
      <c r="K338">
        <f t="shared" ca="1" si="19"/>
        <v>0.44542587936901318</v>
      </c>
      <c r="L338">
        <f t="shared" ca="1" si="20"/>
        <v>0.10187643873584504</v>
      </c>
      <c r="M338">
        <f t="shared" ca="1" si="21"/>
        <v>224.34139305169106</v>
      </c>
    </row>
    <row r="339" spans="9:13" x14ac:dyDescent="0.25">
      <c r="I339">
        <v>279</v>
      </c>
      <c r="J339">
        <f t="shared" ca="1" si="18"/>
        <v>5.4458576359529859E-2</v>
      </c>
      <c r="K339">
        <f t="shared" ca="1" si="19"/>
        <v>0.45076292775770899</v>
      </c>
      <c r="L339">
        <f t="shared" ca="1" si="20"/>
        <v>0.11304164988625928</v>
      </c>
      <c r="M339">
        <f t="shared" ca="1" si="21"/>
        <v>169.10271279941634</v>
      </c>
    </row>
    <row r="340" spans="9:13" x14ac:dyDescent="0.25">
      <c r="I340">
        <v>280</v>
      </c>
      <c r="J340">
        <f t="shared" ca="1" si="18"/>
        <v>8.6727950590743119E-2</v>
      </c>
      <c r="K340">
        <f t="shared" ca="1" si="19"/>
        <v>0.43331619869005716</v>
      </c>
      <c r="L340">
        <f t="shared" ca="1" si="20"/>
        <v>0.12075869671049422</v>
      </c>
      <c r="M340">
        <f t="shared" ca="1" si="21"/>
        <v>174.05010263879052</v>
      </c>
    </row>
    <row r="341" spans="9:13" x14ac:dyDescent="0.25">
      <c r="I341">
        <v>281</v>
      </c>
      <c r="J341">
        <f t="shared" ca="1" si="18"/>
        <v>8.9214979095888478E-2</v>
      </c>
      <c r="K341">
        <f t="shared" ca="1" si="19"/>
        <v>0.46663023243438206</v>
      </c>
      <c r="L341">
        <f t="shared" ca="1" si="20"/>
        <v>0.11246928318731299</v>
      </c>
      <c r="M341">
        <f t="shared" ca="1" si="21"/>
        <v>207.55172704985898</v>
      </c>
    </row>
    <row r="342" spans="9:13" x14ac:dyDescent="0.25">
      <c r="I342">
        <v>282</v>
      </c>
      <c r="J342">
        <f t="shared" ca="1" si="18"/>
        <v>5.6577811093664387E-2</v>
      </c>
      <c r="K342">
        <f t="shared" ca="1" si="19"/>
        <v>0.3837415132944475</v>
      </c>
      <c r="L342">
        <f t="shared" ca="1" si="20"/>
        <v>0.11736904998297205</v>
      </c>
      <c r="M342">
        <f t="shared" ca="1" si="21"/>
        <v>138.42268905867093</v>
      </c>
    </row>
    <row r="343" spans="9:13" x14ac:dyDescent="0.25">
      <c r="I343">
        <v>283</v>
      </c>
      <c r="J343">
        <f t="shared" ca="1" si="18"/>
        <v>9.4815544299012428E-3</v>
      </c>
      <c r="K343">
        <f t="shared" ca="1" si="19"/>
        <v>0.45562315339117654</v>
      </c>
      <c r="L343">
        <f t="shared" ca="1" si="20"/>
        <v>0.10889501847688172</v>
      </c>
      <c r="M343">
        <f t="shared" ca="1" si="21"/>
        <v>143.90702130427877</v>
      </c>
    </row>
    <row r="344" spans="9:13" x14ac:dyDescent="0.25">
      <c r="I344">
        <v>284</v>
      </c>
      <c r="J344">
        <f t="shared" ca="1" si="18"/>
        <v>0.11768664583958169</v>
      </c>
      <c r="K344">
        <f t="shared" ca="1" si="19"/>
        <v>0.40838526742080777</v>
      </c>
      <c r="L344">
        <f t="shared" ca="1" si="20"/>
        <v>0.11506919531312546</v>
      </c>
      <c r="M344">
        <f t="shared" ca="1" si="21"/>
        <v>200.7354601876892</v>
      </c>
    </row>
    <row r="345" spans="9:13" x14ac:dyDescent="0.25">
      <c r="I345">
        <v>285</v>
      </c>
      <c r="J345">
        <f t="shared" ca="1" si="18"/>
        <v>7.5845501828661718E-2</v>
      </c>
      <c r="K345">
        <f t="shared" ca="1" si="19"/>
        <v>0.44252809059374804</v>
      </c>
      <c r="L345">
        <f t="shared" ca="1" si="20"/>
        <v>9.2676033986577838E-2</v>
      </c>
      <c r="M345">
        <f t="shared" ca="1" si="21"/>
        <v>238.52519274569408</v>
      </c>
    </row>
    <row r="346" spans="9:13" x14ac:dyDescent="0.25">
      <c r="I346">
        <v>286</v>
      </c>
      <c r="J346">
        <f t="shared" ca="1" si="18"/>
        <v>0.108404663089777</v>
      </c>
      <c r="K346">
        <f t="shared" ca="1" si="19"/>
        <v>0.42163959954999408</v>
      </c>
      <c r="L346">
        <f t="shared" ca="1" si="20"/>
        <v>9.0834673997144455E-2</v>
      </c>
      <c r="M346">
        <f t="shared" ca="1" si="21"/>
        <v>271.29852693876688</v>
      </c>
    </row>
    <row r="347" spans="9:13" x14ac:dyDescent="0.25">
      <c r="I347">
        <v>287</v>
      </c>
      <c r="J347">
        <f t="shared" ca="1" si="18"/>
        <v>5.7000314152460617E-2</v>
      </c>
      <c r="K347">
        <f t="shared" ca="1" si="19"/>
        <v>0.42269320951601674</v>
      </c>
      <c r="L347">
        <f t="shared" ca="1" si="20"/>
        <v>0.10971266318898275</v>
      </c>
      <c r="M347">
        <f t="shared" ca="1" si="21"/>
        <v>166.67827272390187</v>
      </c>
    </row>
    <row r="348" spans="9:13" x14ac:dyDescent="0.25">
      <c r="I348">
        <v>288</v>
      </c>
      <c r="J348">
        <f t="shared" ca="1" si="18"/>
        <v>9.7812524579780555E-2</v>
      </c>
      <c r="K348">
        <f t="shared" ca="1" si="19"/>
        <v>0.41662189231163893</v>
      </c>
      <c r="L348">
        <f t="shared" ca="1" si="20"/>
        <v>0.11363746789819501</v>
      </c>
      <c r="M348">
        <f t="shared" ca="1" si="21"/>
        <v>190.10651967848992</v>
      </c>
    </row>
    <row r="349" spans="9:13" x14ac:dyDescent="0.25">
      <c r="I349">
        <v>289</v>
      </c>
      <c r="J349">
        <f t="shared" ca="1" si="18"/>
        <v>7.0848752119478164E-2</v>
      </c>
      <c r="K349">
        <f t="shared" ca="1" si="19"/>
        <v>0.43285004527028009</v>
      </c>
      <c r="L349">
        <f t="shared" ca="1" si="20"/>
        <v>0.10960734777335954</v>
      </c>
      <c r="M349">
        <f t="shared" ca="1" si="21"/>
        <v>182.53291714150438</v>
      </c>
    </row>
    <row r="350" spans="9:13" x14ac:dyDescent="0.25">
      <c r="I350">
        <v>290</v>
      </c>
      <c r="J350">
        <f t="shared" ca="1" si="18"/>
        <v>7.9368296169838329E-2</v>
      </c>
      <c r="K350">
        <f t="shared" ca="1" si="19"/>
        <v>0.4155204500329891</v>
      </c>
      <c r="L350">
        <f t="shared" ca="1" si="20"/>
        <v>9.1488795424335578E-2</v>
      </c>
      <c r="M350">
        <f t="shared" ca="1" si="21"/>
        <v>231.62598404174597</v>
      </c>
    </row>
    <row r="351" spans="9:13" x14ac:dyDescent="0.25">
      <c r="I351">
        <v>291</v>
      </c>
      <c r="J351">
        <f t="shared" ca="1" si="18"/>
        <v>7.9143094454652133E-2</v>
      </c>
      <c r="K351">
        <f t="shared" ca="1" si="19"/>
        <v>0.42996137541784252</v>
      </c>
      <c r="L351">
        <f t="shared" ca="1" si="20"/>
        <v>9.790297536155261E-2</v>
      </c>
      <c r="M351">
        <f t="shared" ca="1" si="21"/>
        <v>218.53873146009468</v>
      </c>
    </row>
    <row r="352" spans="9:13" x14ac:dyDescent="0.25">
      <c r="I352">
        <v>292</v>
      </c>
      <c r="J352">
        <f t="shared" ca="1" si="18"/>
        <v>2.6907761035753777E-2</v>
      </c>
      <c r="K352">
        <f t="shared" ca="1" si="19"/>
        <v>0.4186644107174094</v>
      </c>
      <c r="L352">
        <f t="shared" ca="1" si="20"/>
        <v>0.11422167429554789</v>
      </c>
      <c r="M352">
        <f t="shared" ca="1" si="21"/>
        <v>135.48599370338516</v>
      </c>
    </row>
    <row r="353" spans="9:13" x14ac:dyDescent="0.25">
      <c r="I353">
        <v>293</v>
      </c>
      <c r="J353">
        <f t="shared" ca="1" si="18"/>
        <v>4.877090258435169E-2</v>
      </c>
      <c r="K353">
        <f t="shared" ca="1" si="19"/>
        <v>0.41114879602436039</v>
      </c>
      <c r="L353">
        <f t="shared" ca="1" si="20"/>
        <v>0.1227771106477315</v>
      </c>
      <c r="M353">
        <f t="shared" ca="1" si="21"/>
        <v>135.09481659973616</v>
      </c>
    </row>
    <row r="354" spans="9:13" x14ac:dyDescent="0.25">
      <c r="I354">
        <v>294</v>
      </c>
      <c r="J354">
        <f t="shared" ca="1" si="18"/>
        <v>8.88881958156785E-2</v>
      </c>
      <c r="K354">
        <f t="shared" ca="1" si="19"/>
        <v>0.44326707482809236</v>
      </c>
      <c r="L354">
        <f t="shared" ca="1" si="20"/>
        <v>0.1101020088036558</v>
      </c>
      <c r="M354">
        <f t="shared" ca="1" si="21"/>
        <v>202.21492817695324</v>
      </c>
    </row>
    <row r="355" spans="9:13" x14ac:dyDescent="0.25">
      <c r="I355">
        <v>295</v>
      </c>
      <c r="J355">
        <f t="shared" ca="1" si="18"/>
        <v>4.6320354992725056E-2</v>
      </c>
      <c r="K355">
        <f t="shared" ca="1" si="19"/>
        <v>0.46417705642741103</v>
      </c>
      <c r="L355">
        <f t="shared" ca="1" si="20"/>
        <v>0.10979373678009391</v>
      </c>
      <c r="M355">
        <f t="shared" ca="1" si="21"/>
        <v>173.87784543300759</v>
      </c>
    </row>
    <row r="356" spans="9:13" x14ac:dyDescent="0.25">
      <c r="I356">
        <v>296</v>
      </c>
      <c r="J356">
        <f t="shared" ca="1" si="18"/>
        <v>7.1308833811303068E-2</v>
      </c>
      <c r="K356">
        <f t="shared" ca="1" si="19"/>
        <v>0.42683271797103367</v>
      </c>
      <c r="L356">
        <f t="shared" ca="1" si="20"/>
        <v>0.12741216438958197</v>
      </c>
      <c r="M356">
        <f t="shared" ca="1" si="21"/>
        <v>149.19978835903208</v>
      </c>
    </row>
    <row r="357" spans="9:13" x14ac:dyDescent="0.25">
      <c r="I357">
        <v>297</v>
      </c>
      <c r="J357">
        <f t="shared" ca="1" si="18"/>
        <v>9.1985324464380791E-2</v>
      </c>
      <c r="K357">
        <f t="shared" ca="1" si="19"/>
        <v>0.46084146499790579</v>
      </c>
      <c r="L357">
        <f t="shared" ca="1" si="20"/>
        <v>0.11211718317136998</v>
      </c>
      <c r="M357">
        <f t="shared" ca="1" si="21"/>
        <v>208.42955087142292</v>
      </c>
    </row>
    <row r="358" spans="9:13" x14ac:dyDescent="0.25">
      <c r="I358">
        <v>298</v>
      </c>
      <c r="J358">
        <f t="shared" ca="1" si="18"/>
        <v>6.0524495238438863E-2</v>
      </c>
      <c r="K358">
        <f t="shared" ca="1" si="19"/>
        <v>0.45870011197779298</v>
      </c>
      <c r="L358">
        <f t="shared" ca="1" si="20"/>
        <v>0.10839981345212885</v>
      </c>
      <c r="M358">
        <f t="shared" ca="1" si="21"/>
        <v>186.95267135607807</v>
      </c>
    </row>
    <row r="359" spans="9:13" x14ac:dyDescent="0.25">
      <c r="I359">
        <v>299</v>
      </c>
      <c r="J359">
        <f t="shared" ca="1" si="18"/>
        <v>9.2932731824668324E-2</v>
      </c>
      <c r="K359">
        <f t="shared" ca="1" si="19"/>
        <v>0.44764436539283442</v>
      </c>
      <c r="L359">
        <f t="shared" ca="1" si="20"/>
        <v>0.11580849174316578</v>
      </c>
      <c r="M359">
        <f t="shared" ca="1" si="21"/>
        <v>195.10249666875472</v>
      </c>
    </row>
    <row r="360" spans="9:13" x14ac:dyDescent="0.25">
      <c r="I360">
        <v>300</v>
      </c>
      <c r="J360">
        <f t="shared" ca="1" si="18"/>
        <v>7.5182905658341515E-2</v>
      </c>
      <c r="K360">
        <f t="shared" ca="1" si="19"/>
        <v>0.38929169117305951</v>
      </c>
      <c r="L360">
        <f t="shared" ca="1" si="20"/>
        <v>0.10495244611900058</v>
      </c>
      <c r="M360">
        <f t="shared" ca="1" si="21"/>
        <v>177.07008190669046</v>
      </c>
    </row>
    <row r="361" spans="9:13" x14ac:dyDescent="0.25">
      <c r="I361">
        <v>301</v>
      </c>
      <c r="J361">
        <f t="shared" ca="1" si="18"/>
        <v>0.11157306015789681</v>
      </c>
      <c r="K361">
        <f t="shared" ca="1" si="19"/>
        <v>0.46643569773730004</v>
      </c>
      <c r="L361">
        <f t="shared" ca="1" si="20"/>
        <v>0.10805360709794418</v>
      </c>
      <c r="M361">
        <f t="shared" ca="1" si="21"/>
        <v>241.92732340044671</v>
      </c>
    </row>
    <row r="362" spans="9:13" x14ac:dyDescent="0.25">
      <c r="I362">
        <v>302</v>
      </c>
      <c r="J362">
        <f t="shared" ca="1" si="18"/>
        <v>0.10919578661346062</v>
      </c>
      <c r="K362">
        <f t="shared" ca="1" si="19"/>
        <v>0.43694074985978976</v>
      </c>
      <c r="L362">
        <f t="shared" ca="1" si="20"/>
        <v>0.1203611708053272</v>
      </c>
      <c r="M362">
        <f t="shared" ca="1" si="21"/>
        <v>195.40288267756185</v>
      </c>
    </row>
    <row r="363" spans="9:13" x14ac:dyDescent="0.25">
      <c r="I363">
        <v>303</v>
      </c>
      <c r="J363">
        <f t="shared" ca="1" si="18"/>
        <v>0.13612511458707399</v>
      </c>
      <c r="K363">
        <f t="shared" ca="1" si="19"/>
        <v>0.41931103322845759</v>
      </c>
      <c r="L363">
        <f t="shared" ca="1" si="20"/>
        <v>9.3664781764893096E-2</v>
      </c>
      <c r="M363">
        <f t="shared" ca="1" si="21"/>
        <v>292.96994954790199</v>
      </c>
    </row>
    <row r="364" spans="9:13" x14ac:dyDescent="0.25">
      <c r="I364">
        <v>304</v>
      </c>
      <c r="J364">
        <f t="shared" ca="1" si="18"/>
        <v>9.0414198362592443E-2</v>
      </c>
      <c r="K364">
        <f t="shared" ca="1" si="19"/>
        <v>0.4613919954471194</v>
      </c>
      <c r="L364">
        <f t="shared" ca="1" si="20"/>
        <v>0.10147390512982676</v>
      </c>
      <c r="M364">
        <f t="shared" ca="1" si="21"/>
        <v>235.76507462420363</v>
      </c>
    </row>
    <row r="365" spans="9:13" x14ac:dyDescent="0.25">
      <c r="I365">
        <v>305</v>
      </c>
      <c r="J365">
        <f t="shared" ca="1" si="18"/>
        <v>0.11799630424691432</v>
      </c>
      <c r="K365">
        <f t="shared" ca="1" si="19"/>
        <v>0.4171613474546883</v>
      </c>
      <c r="L365">
        <f t="shared" ca="1" si="20"/>
        <v>9.7710162875717904E-2</v>
      </c>
      <c r="M365">
        <f t="shared" ca="1" si="21"/>
        <v>253.96703905706462</v>
      </c>
    </row>
    <row r="366" spans="9:13" x14ac:dyDescent="0.25">
      <c r="I366">
        <v>306</v>
      </c>
      <c r="J366">
        <f t="shared" ca="1" si="18"/>
        <v>8.9847174231366109E-2</v>
      </c>
      <c r="K366">
        <f t="shared" ca="1" si="19"/>
        <v>0.42346009301443055</v>
      </c>
      <c r="L366">
        <f t="shared" ca="1" si="20"/>
        <v>0.11333979461172589</v>
      </c>
      <c r="M366">
        <f t="shared" ca="1" si="21"/>
        <v>186.9095947992185</v>
      </c>
    </row>
    <row r="367" spans="9:13" x14ac:dyDescent="0.25">
      <c r="I367">
        <v>307</v>
      </c>
      <c r="J367">
        <f t="shared" ca="1" si="18"/>
        <v>4.9939775721656504E-2</v>
      </c>
      <c r="K367">
        <f t="shared" ca="1" si="19"/>
        <v>0.45445197754794464</v>
      </c>
      <c r="L367">
        <f t="shared" ca="1" si="20"/>
        <v>0.10612950144650171</v>
      </c>
      <c r="M367">
        <f t="shared" ca="1" si="21"/>
        <v>180.96593604155714</v>
      </c>
    </row>
    <row r="368" spans="9:13" x14ac:dyDescent="0.25">
      <c r="I368">
        <v>308</v>
      </c>
      <c r="J368">
        <f t="shared" ca="1" si="18"/>
        <v>0.10901438918011336</v>
      </c>
      <c r="K368">
        <f t="shared" ca="1" si="19"/>
        <v>0.4930778927665484</v>
      </c>
      <c r="L368">
        <f t="shared" ca="1" si="20"/>
        <v>0.11270832084798985</v>
      </c>
      <c r="M368">
        <f t="shared" ca="1" si="21"/>
        <v>239.58364828848588</v>
      </c>
    </row>
    <row r="369" spans="9:13" x14ac:dyDescent="0.25">
      <c r="I369">
        <v>309</v>
      </c>
      <c r="J369">
        <f t="shared" ca="1" si="18"/>
        <v>7.8955169354855789E-2</v>
      </c>
      <c r="K369">
        <f t="shared" ca="1" si="19"/>
        <v>0.49090027540659226</v>
      </c>
      <c r="L369">
        <f t="shared" ca="1" si="20"/>
        <v>0.11036358337713509</v>
      </c>
      <c r="M369">
        <f t="shared" ca="1" si="21"/>
        <v>213.35568983850854</v>
      </c>
    </row>
    <row r="370" spans="9:13" x14ac:dyDescent="0.25">
      <c r="I370">
        <v>310</v>
      </c>
      <c r="J370">
        <f t="shared" ca="1" si="18"/>
        <v>8.230278548764558E-2</v>
      </c>
      <c r="K370">
        <f t="shared" ca="1" si="19"/>
        <v>0.41430798727221196</v>
      </c>
      <c r="L370">
        <f t="shared" ca="1" si="20"/>
        <v>0.10314208690532907</v>
      </c>
      <c r="M370">
        <f t="shared" ca="1" si="21"/>
        <v>199.4144965590408</v>
      </c>
    </row>
    <row r="371" spans="9:13" x14ac:dyDescent="0.25">
      <c r="I371">
        <v>311</v>
      </c>
      <c r="J371">
        <f t="shared" ca="1" si="18"/>
        <v>0.15564974258593822</v>
      </c>
      <c r="K371">
        <f t="shared" ca="1" si="19"/>
        <v>0.43086074730715801</v>
      </c>
      <c r="L371">
        <f t="shared" ca="1" si="20"/>
        <v>0.11808351680124866</v>
      </c>
      <c r="M371">
        <f t="shared" ca="1" si="21"/>
        <v>242.62649160977216</v>
      </c>
    </row>
    <row r="372" spans="9:13" x14ac:dyDescent="0.25">
      <c r="I372">
        <v>312</v>
      </c>
      <c r="J372">
        <f t="shared" ca="1" si="18"/>
        <v>9.5413072383391542E-2</v>
      </c>
      <c r="K372">
        <f t="shared" ca="1" si="19"/>
        <v>0.4337663640673306</v>
      </c>
      <c r="L372">
        <f t="shared" ca="1" si="20"/>
        <v>0.10588798005421832</v>
      </c>
      <c r="M372">
        <f t="shared" ca="1" si="21"/>
        <v>214.43352009354552</v>
      </c>
    </row>
    <row r="373" spans="9:13" x14ac:dyDescent="0.25">
      <c r="I373">
        <v>313</v>
      </c>
      <c r="J373">
        <f t="shared" ca="1" si="18"/>
        <v>8.4221141935530708E-3</v>
      </c>
      <c r="K373">
        <f t="shared" ca="1" si="19"/>
        <v>0.40393991383758743</v>
      </c>
      <c r="L373">
        <f t="shared" ca="1" si="20"/>
        <v>0.11243309564383898</v>
      </c>
      <c r="M373">
        <f t="shared" ca="1" si="21"/>
        <v>121.61532210030505</v>
      </c>
    </row>
    <row r="374" spans="9:13" x14ac:dyDescent="0.25">
      <c r="I374">
        <v>314</v>
      </c>
      <c r="J374">
        <f t="shared" ca="1" si="18"/>
        <v>3.9873681963127315E-2</v>
      </c>
      <c r="K374">
        <f t="shared" ca="1" si="19"/>
        <v>0.45230669716662752</v>
      </c>
      <c r="L374">
        <f t="shared" ca="1" si="20"/>
        <v>0.11051966137122467</v>
      </c>
      <c r="M374">
        <f t="shared" ca="1" si="21"/>
        <v>162.80310817723569</v>
      </c>
    </row>
    <row r="375" spans="9:13" x14ac:dyDescent="0.25">
      <c r="I375">
        <v>315</v>
      </c>
      <c r="J375">
        <f t="shared" ca="1" si="18"/>
        <v>8.2965225681301935E-2</v>
      </c>
      <c r="K375">
        <f t="shared" ca="1" si="19"/>
        <v>0.44185146227114702</v>
      </c>
      <c r="L375">
        <f t="shared" ca="1" si="20"/>
        <v>0.12051664016039748</v>
      </c>
      <c r="M375">
        <f t="shared" ca="1" si="21"/>
        <v>174.86918611237789</v>
      </c>
    </row>
    <row r="376" spans="9:13" x14ac:dyDescent="0.25">
      <c r="I376">
        <v>316</v>
      </c>
      <c r="J376">
        <f t="shared" ca="1" si="18"/>
        <v>0.11321570871921974</v>
      </c>
      <c r="K376">
        <f t="shared" ca="1" si="19"/>
        <v>0.47983931141755876</v>
      </c>
      <c r="L376">
        <f t="shared" ca="1" si="20"/>
        <v>9.825637434684939E-2</v>
      </c>
      <c r="M376">
        <f t="shared" ca="1" si="21"/>
        <v>284.01489316420611</v>
      </c>
    </row>
    <row r="377" spans="9:13" x14ac:dyDescent="0.25">
      <c r="I377">
        <v>317</v>
      </c>
      <c r="J377">
        <f t="shared" ca="1" si="18"/>
        <v>6.0418256541291564E-2</v>
      </c>
      <c r="K377">
        <f t="shared" ca="1" si="19"/>
        <v>0.42311658966288229</v>
      </c>
      <c r="L377">
        <f t="shared" ca="1" si="20"/>
        <v>0.11514320316710179</v>
      </c>
      <c r="M377">
        <f t="shared" ca="1" si="21"/>
        <v>159.43167814880823</v>
      </c>
    </row>
    <row r="378" spans="9:13" x14ac:dyDescent="0.25">
      <c r="I378">
        <v>318</v>
      </c>
      <c r="J378">
        <f t="shared" ca="1" si="18"/>
        <v>3.87506851250254E-2</v>
      </c>
      <c r="K378">
        <f t="shared" ca="1" si="19"/>
        <v>0.4778236079538255</v>
      </c>
      <c r="L378">
        <f t="shared" ca="1" si="20"/>
        <v>9.3889114162782422E-2</v>
      </c>
      <c r="M378">
        <f t="shared" ca="1" si="21"/>
        <v>212.17773413485682</v>
      </c>
    </row>
    <row r="379" spans="9:13" x14ac:dyDescent="0.25">
      <c r="I379">
        <v>319</v>
      </c>
      <c r="J379">
        <f t="shared" ca="1" si="18"/>
        <v>2.6258879963435851E-2</v>
      </c>
      <c r="K379">
        <f t="shared" ca="1" si="19"/>
        <v>0.4158797555550186</v>
      </c>
      <c r="L379">
        <f t="shared" ca="1" si="20"/>
        <v>0.11973955136482188</v>
      </c>
      <c r="M379">
        <f t="shared" ca="1" si="21"/>
        <v>126.36367133445229</v>
      </c>
    </row>
    <row r="380" spans="9:13" x14ac:dyDescent="0.25">
      <c r="I380">
        <v>320</v>
      </c>
      <c r="J380">
        <f t="shared" ca="1" si="18"/>
        <v>8.4106766266025576E-2</v>
      </c>
      <c r="K380">
        <f t="shared" ca="1" si="19"/>
        <v>0.42120401249460315</v>
      </c>
      <c r="L380">
        <f t="shared" ca="1" si="20"/>
        <v>0.12269522743696278</v>
      </c>
      <c r="M380">
        <f t="shared" ca="1" si="21"/>
        <v>163.80387617724548</v>
      </c>
    </row>
    <row r="381" spans="9:13" x14ac:dyDescent="0.25">
      <c r="I381">
        <v>321</v>
      </c>
      <c r="J381">
        <f t="shared" ca="1" si="18"/>
        <v>0.14595374982978621</v>
      </c>
      <c r="K381">
        <f t="shared" ca="1" si="19"/>
        <v>0.44780059816952106</v>
      </c>
      <c r="L381">
        <f t="shared" ca="1" si="20"/>
        <v>0.1141724164100154</v>
      </c>
      <c r="M381">
        <f t="shared" ca="1" si="21"/>
        <v>252.2558170121936</v>
      </c>
    </row>
    <row r="382" spans="9:13" x14ac:dyDescent="0.25">
      <c r="I382">
        <v>322</v>
      </c>
      <c r="J382">
        <f t="shared" ref="J382:J445" ca="1" si="22">_xlfn.NORM.INV(RAND(),0.085,0.03)</f>
        <v>0.11721199793179926</v>
      </c>
      <c r="K382">
        <f t="shared" ref="K382:K445" ca="1" si="23">_xlfn.NORM.INV(RAND(),0.435,0.03)</f>
        <v>0.43358109974735598</v>
      </c>
      <c r="L382">
        <f t="shared" ref="L382:L445" ca="1" si="24">_xlfn.NORM.INV(RAND(),0.1106,0.01)</f>
        <v>0.11044012939286482</v>
      </c>
      <c r="M382">
        <f t="shared" ref="M382:M445" ca="1" si="25">((416.161*(1+J382)^5*K382*(1-(1+L382)^-5)/L382)+(416.161*(1+J382)^5*K382*(1+0.025)/(L382-0.025)*(1+L382)^-5)-78.328+54.697)/15.02</f>
        <v>224.18811503229657</v>
      </c>
    </row>
    <row r="383" spans="9:13" x14ac:dyDescent="0.25">
      <c r="I383">
        <v>323</v>
      </c>
      <c r="J383">
        <f t="shared" ca="1" si="22"/>
        <v>0.11220299887437485</v>
      </c>
      <c r="K383">
        <f t="shared" ca="1" si="23"/>
        <v>0.4346308320963323</v>
      </c>
      <c r="L383">
        <f t="shared" ca="1" si="24"/>
        <v>9.3953634150879206E-2</v>
      </c>
      <c r="M383">
        <f t="shared" ca="1" si="25"/>
        <v>271.77956302628326</v>
      </c>
    </row>
    <row r="384" spans="9:13" x14ac:dyDescent="0.25">
      <c r="I384">
        <v>324</v>
      </c>
      <c r="J384">
        <f t="shared" ca="1" si="22"/>
        <v>0.18163212981381427</v>
      </c>
      <c r="K384">
        <f t="shared" ca="1" si="23"/>
        <v>0.42062909554597866</v>
      </c>
      <c r="L384">
        <f t="shared" ca="1" si="24"/>
        <v>0.11072945814305774</v>
      </c>
      <c r="M384">
        <f t="shared" ca="1" si="25"/>
        <v>287.33932278897009</v>
      </c>
    </row>
    <row r="385" spans="9:13" x14ac:dyDescent="0.25">
      <c r="I385">
        <v>325</v>
      </c>
      <c r="J385">
        <f t="shared" ca="1" si="22"/>
        <v>8.0723809983525019E-2</v>
      </c>
      <c r="K385">
        <f t="shared" ca="1" si="23"/>
        <v>0.39598800345509955</v>
      </c>
      <c r="L385">
        <f t="shared" ca="1" si="24"/>
        <v>0.10889836016146109</v>
      </c>
      <c r="M385">
        <f t="shared" ca="1" si="25"/>
        <v>176.2321707850962</v>
      </c>
    </row>
    <row r="386" spans="9:13" x14ac:dyDescent="0.25">
      <c r="I386">
        <v>326</v>
      </c>
      <c r="J386">
        <f t="shared" ca="1" si="22"/>
        <v>0.10975875573616151</v>
      </c>
      <c r="K386">
        <f t="shared" ca="1" si="23"/>
        <v>0.41347448814223925</v>
      </c>
      <c r="L386">
        <f t="shared" ca="1" si="24"/>
        <v>0.11438327956546558</v>
      </c>
      <c r="M386">
        <f t="shared" ca="1" si="25"/>
        <v>197.58727489891464</v>
      </c>
    </row>
    <row r="387" spans="9:13" x14ac:dyDescent="0.25">
      <c r="I387">
        <v>327</v>
      </c>
      <c r="J387">
        <f t="shared" ca="1" si="22"/>
        <v>8.3550338561122511E-2</v>
      </c>
      <c r="K387">
        <f t="shared" ca="1" si="23"/>
        <v>0.42558580421391229</v>
      </c>
      <c r="L387">
        <f t="shared" ca="1" si="24"/>
        <v>0.11533952446476936</v>
      </c>
      <c r="M387">
        <f t="shared" ca="1" si="25"/>
        <v>178.436465288075</v>
      </c>
    </row>
    <row r="388" spans="9:13" x14ac:dyDescent="0.25">
      <c r="I388">
        <v>328</v>
      </c>
      <c r="J388">
        <f t="shared" ca="1" si="22"/>
        <v>0.10293361242257222</v>
      </c>
      <c r="K388">
        <f t="shared" ca="1" si="23"/>
        <v>0.39639719698968495</v>
      </c>
      <c r="L388">
        <f t="shared" ca="1" si="24"/>
        <v>0.11484568944879034</v>
      </c>
      <c r="M388">
        <f t="shared" ca="1" si="25"/>
        <v>182.62417540376941</v>
      </c>
    </row>
    <row r="389" spans="9:13" x14ac:dyDescent="0.25">
      <c r="I389">
        <v>329</v>
      </c>
      <c r="J389">
        <f t="shared" ca="1" si="22"/>
        <v>5.4490097556017664E-2</v>
      </c>
      <c r="K389">
        <f t="shared" ca="1" si="23"/>
        <v>0.42042908937180146</v>
      </c>
      <c r="L389">
        <f t="shared" ca="1" si="24"/>
        <v>0.10535093835900174</v>
      </c>
      <c r="M389">
        <f t="shared" ca="1" si="25"/>
        <v>172.63857778189256</v>
      </c>
    </row>
    <row r="390" spans="9:13" x14ac:dyDescent="0.25">
      <c r="I390">
        <v>330</v>
      </c>
      <c r="J390">
        <f t="shared" ca="1" si="22"/>
        <v>6.8960460943782234E-2</v>
      </c>
      <c r="K390">
        <f t="shared" ca="1" si="23"/>
        <v>0.41761227506898141</v>
      </c>
      <c r="L390">
        <f t="shared" ca="1" si="24"/>
        <v>0.1183097329151078</v>
      </c>
      <c r="M390">
        <f t="shared" ca="1" si="25"/>
        <v>158.31682341782786</v>
      </c>
    </row>
    <row r="391" spans="9:13" x14ac:dyDescent="0.25">
      <c r="I391">
        <v>331</v>
      </c>
      <c r="J391">
        <f t="shared" ca="1" si="22"/>
        <v>6.7445017352535497E-2</v>
      </c>
      <c r="K391">
        <f t="shared" ca="1" si="23"/>
        <v>0.39243634321577814</v>
      </c>
      <c r="L391">
        <f t="shared" ca="1" si="24"/>
        <v>0.12985631489105223</v>
      </c>
      <c r="M391">
        <f t="shared" ca="1" si="25"/>
        <v>131.44901391679284</v>
      </c>
    </row>
    <row r="392" spans="9:13" x14ac:dyDescent="0.25">
      <c r="I392">
        <v>332</v>
      </c>
      <c r="J392">
        <f t="shared" ca="1" si="22"/>
        <v>0.10572807854546815</v>
      </c>
      <c r="K392">
        <f t="shared" ca="1" si="23"/>
        <v>0.49406700544550125</v>
      </c>
      <c r="L392">
        <f t="shared" ca="1" si="24"/>
        <v>0.11614900301688372</v>
      </c>
      <c r="M392">
        <f t="shared" ca="1" si="25"/>
        <v>227.66051759832538</v>
      </c>
    </row>
    <row r="393" spans="9:13" x14ac:dyDescent="0.25">
      <c r="I393">
        <v>333</v>
      </c>
      <c r="J393">
        <f t="shared" ca="1" si="22"/>
        <v>0.16551253030262653</v>
      </c>
      <c r="K393">
        <f t="shared" ca="1" si="23"/>
        <v>0.39833772117386945</v>
      </c>
      <c r="L393">
        <f t="shared" ca="1" si="24"/>
        <v>0.12890703599345271</v>
      </c>
      <c r="M393">
        <f t="shared" ca="1" si="25"/>
        <v>209.84595787890157</v>
      </c>
    </row>
    <row r="394" spans="9:13" x14ac:dyDescent="0.25">
      <c r="I394">
        <v>334</v>
      </c>
      <c r="J394">
        <f t="shared" ca="1" si="22"/>
        <v>9.9218013495437477E-2</v>
      </c>
      <c r="K394">
        <f t="shared" ca="1" si="23"/>
        <v>0.48437279058650362</v>
      </c>
      <c r="L394">
        <f t="shared" ca="1" si="24"/>
        <v>9.79290222458266E-2</v>
      </c>
      <c r="M394">
        <f t="shared" ca="1" si="25"/>
        <v>270.23647350048856</v>
      </c>
    </row>
    <row r="395" spans="9:13" x14ac:dyDescent="0.25">
      <c r="I395">
        <v>335</v>
      </c>
      <c r="J395">
        <f t="shared" ca="1" si="22"/>
        <v>8.8445546090352128E-2</v>
      </c>
      <c r="K395">
        <f t="shared" ca="1" si="23"/>
        <v>0.43856172545616351</v>
      </c>
      <c r="L395">
        <f t="shared" ca="1" si="24"/>
        <v>0.11187508414340526</v>
      </c>
      <c r="M395">
        <f t="shared" ca="1" si="25"/>
        <v>195.59801886399663</v>
      </c>
    </row>
    <row r="396" spans="9:13" x14ac:dyDescent="0.25">
      <c r="I396">
        <v>336</v>
      </c>
      <c r="J396">
        <f t="shared" ca="1" si="22"/>
        <v>6.0597858049565752E-2</v>
      </c>
      <c r="K396">
        <f t="shared" ca="1" si="23"/>
        <v>0.41819835400474664</v>
      </c>
      <c r="L396">
        <f t="shared" ca="1" si="24"/>
        <v>0.10761268241406401</v>
      </c>
      <c r="M396">
        <f t="shared" ca="1" si="25"/>
        <v>171.97941039495768</v>
      </c>
    </row>
    <row r="397" spans="9:13" x14ac:dyDescent="0.25">
      <c r="I397">
        <v>337</v>
      </c>
      <c r="J397">
        <f t="shared" ca="1" si="22"/>
        <v>0.1096204852258009</v>
      </c>
      <c r="K397">
        <f t="shared" ca="1" si="23"/>
        <v>0.39465901492763877</v>
      </c>
      <c r="L397">
        <f t="shared" ca="1" si="24"/>
        <v>9.2633623591728387E-2</v>
      </c>
      <c r="M397">
        <f t="shared" ca="1" si="25"/>
        <v>248.49700347909038</v>
      </c>
    </row>
    <row r="398" spans="9:13" x14ac:dyDescent="0.25">
      <c r="I398">
        <v>338</v>
      </c>
      <c r="J398">
        <f t="shared" ca="1" si="22"/>
        <v>7.335598690139708E-2</v>
      </c>
      <c r="K398">
        <f t="shared" ca="1" si="23"/>
        <v>0.4652556831296556</v>
      </c>
      <c r="L398">
        <f t="shared" ca="1" si="24"/>
        <v>0.10959799403215428</v>
      </c>
      <c r="M398">
        <f t="shared" ca="1" si="25"/>
        <v>198.66548461579654</v>
      </c>
    </row>
    <row r="399" spans="9:13" x14ac:dyDescent="0.25">
      <c r="I399">
        <v>339</v>
      </c>
      <c r="J399">
        <f t="shared" ca="1" si="22"/>
        <v>9.1685127572573716E-2</v>
      </c>
      <c r="K399">
        <f t="shared" ca="1" si="23"/>
        <v>0.38522134343388836</v>
      </c>
      <c r="L399">
        <f t="shared" ca="1" si="24"/>
        <v>0.12301852774207801</v>
      </c>
      <c r="M399">
        <f t="shared" ca="1" si="25"/>
        <v>154.5290099374163</v>
      </c>
    </row>
    <row r="400" spans="9:13" x14ac:dyDescent="0.25">
      <c r="I400">
        <v>340</v>
      </c>
      <c r="J400">
        <f t="shared" ca="1" si="22"/>
        <v>0.11505463814665627</v>
      </c>
      <c r="K400">
        <f t="shared" ca="1" si="23"/>
        <v>0.40794631360620837</v>
      </c>
      <c r="L400">
        <f t="shared" ca="1" si="24"/>
        <v>0.10430167825436387</v>
      </c>
      <c r="M400">
        <f t="shared" ca="1" si="25"/>
        <v>224.82930525319017</v>
      </c>
    </row>
    <row r="401" spans="9:13" x14ac:dyDescent="0.25">
      <c r="I401">
        <v>341</v>
      </c>
      <c r="J401">
        <f t="shared" ca="1" si="22"/>
        <v>6.4254475068124983E-2</v>
      </c>
      <c r="K401">
        <f t="shared" ca="1" si="23"/>
        <v>0.39287199296188813</v>
      </c>
      <c r="L401">
        <f t="shared" ca="1" si="24"/>
        <v>0.10750641896092372</v>
      </c>
      <c r="M401">
        <f t="shared" ca="1" si="25"/>
        <v>164.50942952047447</v>
      </c>
    </row>
    <row r="402" spans="9:13" x14ac:dyDescent="0.25">
      <c r="I402">
        <v>342</v>
      </c>
      <c r="J402">
        <f t="shared" ca="1" si="22"/>
        <v>8.5315704872168524E-2</v>
      </c>
      <c r="K402">
        <f t="shared" ca="1" si="23"/>
        <v>0.41481446954309137</v>
      </c>
      <c r="L402">
        <f t="shared" ca="1" si="24"/>
        <v>0.1217251887478264</v>
      </c>
      <c r="M402">
        <f t="shared" ca="1" si="25"/>
        <v>163.82024932677854</v>
      </c>
    </row>
    <row r="403" spans="9:13" x14ac:dyDescent="0.25">
      <c r="I403">
        <v>343</v>
      </c>
      <c r="J403">
        <f t="shared" ca="1" si="22"/>
        <v>9.2997265078971797E-2</v>
      </c>
      <c r="K403">
        <f t="shared" ca="1" si="23"/>
        <v>0.49729660007712789</v>
      </c>
      <c r="L403">
        <f t="shared" ca="1" si="24"/>
        <v>0.12241142384467335</v>
      </c>
      <c r="M403">
        <f t="shared" ca="1" si="25"/>
        <v>202.40125174047154</v>
      </c>
    </row>
    <row r="404" spans="9:13" x14ac:dyDescent="0.25">
      <c r="I404">
        <v>344</v>
      </c>
      <c r="J404">
        <f t="shared" ca="1" si="22"/>
        <v>0.10389005475722096</v>
      </c>
      <c r="K404">
        <f t="shared" ca="1" si="23"/>
        <v>0.43299732571403815</v>
      </c>
      <c r="L404">
        <f t="shared" ca="1" si="24"/>
        <v>0.10854323947210075</v>
      </c>
      <c r="M404">
        <f t="shared" ca="1" si="25"/>
        <v>215.50587009559038</v>
      </c>
    </row>
    <row r="405" spans="9:13" x14ac:dyDescent="0.25">
      <c r="I405">
        <v>345</v>
      </c>
      <c r="J405">
        <f t="shared" ca="1" si="22"/>
        <v>0.10147208180761466</v>
      </c>
      <c r="K405">
        <f t="shared" ca="1" si="23"/>
        <v>0.36407575726741781</v>
      </c>
      <c r="L405">
        <f t="shared" ca="1" si="24"/>
        <v>0.11601372365197234</v>
      </c>
      <c r="M405">
        <f t="shared" ca="1" si="25"/>
        <v>164.36441265620101</v>
      </c>
    </row>
    <row r="406" spans="9:13" x14ac:dyDescent="0.25">
      <c r="I406">
        <v>346</v>
      </c>
      <c r="J406">
        <f t="shared" ca="1" si="22"/>
        <v>9.3763794441793669E-2</v>
      </c>
      <c r="K406">
        <f t="shared" ca="1" si="23"/>
        <v>0.43480045825588159</v>
      </c>
      <c r="L406">
        <f t="shared" ca="1" si="24"/>
        <v>0.11719836173571556</v>
      </c>
      <c r="M406">
        <f t="shared" ca="1" si="25"/>
        <v>187.34211949436661</v>
      </c>
    </row>
    <row r="407" spans="9:13" x14ac:dyDescent="0.25">
      <c r="I407">
        <v>347</v>
      </c>
      <c r="J407">
        <f t="shared" ca="1" si="22"/>
        <v>7.1581671472206815E-2</v>
      </c>
      <c r="K407">
        <f t="shared" ca="1" si="23"/>
        <v>0.46805154844468677</v>
      </c>
      <c r="L407">
        <f t="shared" ca="1" si="24"/>
        <v>0.10628861796534511</v>
      </c>
      <c r="M407">
        <f t="shared" ca="1" si="25"/>
        <v>206.21830897384166</v>
      </c>
    </row>
    <row r="408" spans="9:13" x14ac:dyDescent="0.25">
      <c r="I408">
        <v>348</v>
      </c>
      <c r="J408">
        <f t="shared" ca="1" si="22"/>
        <v>0.11082872184787278</v>
      </c>
      <c r="K408">
        <f t="shared" ca="1" si="23"/>
        <v>0.45975844062500115</v>
      </c>
      <c r="L408">
        <f t="shared" ca="1" si="24"/>
        <v>0.10044145911193997</v>
      </c>
      <c r="M408">
        <f t="shared" ca="1" si="25"/>
        <v>261.40843148409266</v>
      </c>
    </row>
    <row r="409" spans="9:13" x14ac:dyDescent="0.25">
      <c r="I409">
        <v>349</v>
      </c>
      <c r="J409">
        <f t="shared" ca="1" si="22"/>
        <v>7.2856418418651328E-2</v>
      </c>
      <c r="K409">
        <f t="shared" ca="1" si="23"/>
        <v>0.42298397101547419</v>
      </c>
      <c r="L409">
        <f t="shared" ca="1" si="24"/>
        <v>9.1127148755598714E-2</v>
      </c>
      <c r="M409">
        <f t="shared" ca="1" si="25"/>
        <v>229.98315163724561</v>
      </c>
    </row>
    <row r="410" spans="9:13" x14ac:dyDescent="0.25">
      <c r="I410">
        <v>350</v>
      </c>
      <c r="J410">
        <f t="shared" ca="1" si="22"/>
        <v>0.12218754767603118</v>
      </c>
      <c r="K410">
        <f t="shared" ca="1" si="23"/>
        <v>0.41251551446387097</v>
      </c>
      <c r="L410">
        <f t="shared" ca="1" si="24"/>
        <v>0.10959790837095702</v>
      </c>
      <c r="M410">
        <f t="shared" ca="1" si="25"/>
        <v>220.19810368024352</v>
      </c>
    </row>
    <row r="411" spans="9:13" x14ac:dyDescent="0.25">
      <c r="I411">
        <v>351</v>
      </c>
      <c r="J411">
        <f t="shared" ca="1" si="22"/>
        <v>9.2034605292130395E-2</v>
      </c>
      <c r="K411">
        <f t="shared" ca="1" si="23"/>
        <v>0.42446431066203461</v>
      </c>
      <c r="L411">
        <f t="shared" ca="1" si="24"/>
        <v>0.10789077021804185</v>
      </c>
      <c r="M411">
        <f t="shared" ca="1" si="25"/>
        <v>201.60669682971294</v>
      </c>
    </row>
    <row r="412" spans="9:13" x14ac:dyDescent="0.25">
      <c r="I412">
        <v>352</v>
      </c>
      <c r="J412">
        <f t="shared" ca="1" si="22"/>
        <v>0.16621443781245762</v>
      </c>
      <c r="K412">
        <f t="shared" ca="1" si="23"/>
        <v>0.41892643111884448</v>
      </c>
      <c r="L412">
        <f t="shared" ca="1" si="24"/>
        <v>0.1106921457172694</v>
      </c>
      <c r="M412">
        <f t="shared" ca="1" si="25"/>
        <v>267.99681236076151</v>
      </c>
    </row>
    <row r="413" spans="9:13" x14ac:dyDescent="0.25">
      <c r="I413">
        <v>353</v>
      </c>
      <c r="J413">
        <f t="shared" ca="1" si="22"/>
        <v>3.7836967444439339E-2</v>
      </c>
      <c r="K413">
        <f t="shared" ca="1" si="23"/>
        <v>0.47640628985908945</v>
      </c>
      <c r="L413">
        <f t="shared" ca="1" si="24"/>
        <v>0.12621469225147181</v>
      </c>
      <c r="M413">
        <f t="shared" ca="1" si="25"/>
        <v>143.68335607561505</v>
      </c>
    </row>
    <row r="414" spans="9:13" x14ac:dyDescent="0.25">
      <c r="I414">
        <v>354</v>
      </c>
      <c r="J414">
        <f t="shared" ca="1" si="22"/>
        <v>6.3293445827186073E-2</v>
      </c>
      <c r="K414">
        <f t="shared" ca="1" si="23"/>
        <v>0.40410514662359742</v>
      </c>
      <c r="L414">
        <f t="shared" ca="1" si="24"/>
        <v>9.4716654812073434E-2</v>
      </c>
      <c r="M414">
        <f t="shared" ca="1" si="25"/>
        <v>199.20951303411948</v>
      </c>
    </row>
    <row r="415" spans="9:13" x14ac:dyDescent="0.25">
      <c r="I415">
        <v>355</v>
      </c>
      <c r="J415">
        <f t="shared" ca="1" si="22"/>
        <v>0.12214703937212093</v>
      </c>
      <c r="K415">
        <f t="shared" ca="1" si="23"/>
        <v>0.44681166389597088</v>
      </c>
      <c r="L415">
        <f t="shared" ca="1" si="24"/>
        <v>0.1030844776137774</v>
      </c>
      <c r="M415">
        <f t="shared" ca="1" si="25"/>
        <v>258.31787560963107</v>
      </c>
    </row>
    <row r="416" spans="9:13" x14ac:dyDescent="0.25">
      <c r="I416">
        <v>356</v>
      </c>
      <c r="J416">
        <f t="shared" ca="1" si="22"/>
        <v>7.5193962859324684E-2</v>
      </c>
      <c r="K416">
        <f t="shared" ca="1" si="23"/>
        <v>0.45681263568547054</v>
      </c>
      <c r="L416">
        <f t="shared" ca="1" si="24"/>
        <v>9.5899802060458658E-2</v>
      </c>
      <c r="M416">
        <f t="shared" ca="1" si="25"/>
        <v>234.43518131723951</v>
      </c>
    </row>
    <row r="417" spans="9:13" x14ac:dyDescent="0.25">
      <c r="I417">
        <v>357</v>
      </c>
      <c r="J417">
        <f t="shared" ca="1" si="22"/>
        <v>0.12113695277839912</v>
      </c>
      <c r="K417">
        <f t="shared" ca="1" si="23"/>
        <v>0.39476174668531772</v>
      </c>
      <c r="L417">
        <f t="shared" ca="1" si="24"/>
        <v>0.11781463419053986</v>
      </c>
      <c r="M417">
        <f t="shared" ca="1" si="25"/>
        <v>191.24204121651607</v>
      </c>
    </row>
    <row r="418" spans="9:13" x14ac:dyDescent="0.25">
      <c r="I418">
        <v>358</v>
      </c>
      <c r="J418">
        <f t="shared" ca="1" si="22"/>
        <v>0.10344158506700729</v>
      </c>
      <c r="K418">
        <f t="shared" ca="1" si="23"/>
        <v>0.42520732067581257</v>
      </c>
      <c r="L418">
        <f t="shared" ca="1" si="24"/>
        <v>0.11003271846324732</v>
      </c>
      <c r="M418">
        <f t="shared" ca="1" si="25"/>
        <v>207.49730980520141</v>
      </c>
    </row>
    <row r="419" spans="9:13" x14ac:dyDescent="0.25">
      <c r="I419">
        <v>359</v>
      </c>
      <c r="J419">
        <f t="shared" ca="1" si="22"/>
        <v>0.11628271339292581</v>
      </c>
      <c r="K419">
        <f t="shared" ca="1" si="23"/>
        <v>0.4633582958740608</v>
      </c>
      <c r="L419">
        <f t="shared" ca="1" si="24"/>
        <v>0.11988772644830645</v>
      </c>
      <c r="M419">
        <f t="shared" ca="1" si="25"/>
        <v>215.12924710355574</v>
      </c>
    </row>
    <row r="420" spans="9:13" x14ac:dyDescent="0.25">
      <c r="I420">
        <v>360</v>
      </c>
      <c r="J420">
        <f t="shared" ca="1" si="22"/>
        <v>0.13068339706112517</v>
      </c>
      <c r="K420">
        <f t="shared" ca="1" si="23"/>
        <v>0.50673290135299554</v>
      </c>
      <c r="L420">
        <f t="shared" ca="1" si="24"/>
        <v>0.11593568839804012</v>
      </c>
      <c r="M420">
        <f t="shared" ca="1" si="25"/>
        <v>261.90000617229481</v>
      </c>
    </row>
    <row r="421" spans="9:13" x14ac:dyDescent="0.25">
      <c r="I421">
        <v>361</v>
      </c>
      <c r="J421">
        <f t="shared" ca="1" si="22"/>
        <v>8.1329243157771167E-2</v>
      </c>
      <c r="K421">
        <f t="shared" ca="1" si="23"/>
        <v>0.49452983383715887</v>
      </c>
      <c r="L421">
        <f t="shared" ca="1" si="24"/>
        <v>0.10521518963173675</v>
      </c>
      <c r="M421">
        <f t="shared" ca="1" si="25"/>
        <v>231.17058694025971</v>
      </c>
    </row>
    <row r="422" spans="9:13" x14ac:dyDescent="0.25">
      <c r="I422">
        <v>362</v>
      </c>
      <c r="J422">
        <f t="shared" ca="1" si="22"/>
        <v>6.4661643929318127E-2</v>
      </c>
      <c r="K422">
        <f t="shared" ca="1" si="23"/>
        <v>0.44766254929180749</v>
      </c>
      <c r="L422">
        <f t="shared" ca="1" si="24"/>
        <v>0.1186711135979349</v>
      </c>
      <c r="M422">
        <f t="shared" ca="1" si="25"/>
        <v>165.76584805744687</v>
      </c>
    </row>
    <row r="423" spans="9:13" x14ac:dyDescent="0.25">
      <c r="I423">
        <v>363</v>
      </c>
      <c r="J423">
        <f t="shared" ca="1" si="22"/>
        <v>0.11931020789691678</v>
      </c>
      <c r="K423">
        <f t="shared" ca="1" si="23"/>
        <v>0.46446339821327987</v>
      </c>
      <c r="L423">
        <f t="shared" ca="1" si="24"/>
        <v>0.11130093352585779</v>
      </c>
      <c r="M423">
        <f t="shared" ca="1" si="25"/>
        <v>240.15001497381169</v>
      </c>
    </row>
    <row r="424" spans="9:13" x14ac:dyDescent="0.25">
      <c r="I424">
        <v>364</v>
      </c>
      <c r="J424">
        <f t="shared" ca="1" si="22"/>
        <v>0.13482483573526949</v>
      </c>
      <c r="K424">
        <f t="shared" ca="1" si="23"/>
        <v>0.44432978791842809</v>
      </c>
      <c r="L424">
        <f t="shared" ca="1" si="24"/>
        <v>0.11045591639259746</v>
      </c>
      <c r="M424">
        <f t="shared" ca="1" si="25"/>
        <v>248.56028067329316</v>
      </c>
    </row>
    <row r="425" spans="9:13" x14ac:dyDescent="0.25">
      <c r="I425">
        <v>365</v>
      </c>
      <c r="J425">
        <f t="shared" ca="1" si="22"/>
        <v>2.0951913030761701E-2</v>
      </c>
      <c r="K425">
        <f t="shared" ca="1" si="23"/>
        <v>0.49548161001621926</v>
      </c>
      <c r="L425">
        <f t="shared" ca="1" si="24"/>
        <v>0.11737980735206612</v>
      </c>
      <c r="M425">
        <f t="shared" ca="1" si="25"/>
        <v>150.68241302202117</v>
      </c>
    </row>
    <row r="426" spans="9:13" x14ac:dyDescent="0.25">
      <c r="I426">
        <v>366</v>
      </c>
      <c r="J426">
        <f t="shared" ca="1" si="22"/>
        <v>8.6203344541722224E-2</v>
      </c>
      <c r="K426">
        <f t="shared" ca="1" si="23"/>
        <v>0.404237965376884</v>
      </c>
      <c r="L426">
        <f t="shared" ca="1" si="24"/>
        <v>0.12270999423783036</v>
      </c>
      <c r="M426">
        <f t="shared" ca="1" si="25"/>
        <v>158.65935712242717</v>
      </c>
    </row>
    <row r="427" spans="9:13" x14ac:dyDescent="0.25">
      <c r="I427">
        <v>367</v>
      </c>
      <c r="J427">
        <f t="shared" ca="1" si="22"/>
        <v>5.6313686668340524E-2</v>
      </c>
      <c r="K427">
        <f t="shared" ca="1" si="23"/>
        <v>0.44355007714541284</v>
      </c>
      <c r="L427">
        <f t="shared" ca="1" si="24"/>
        <v>0.11539833303942565</v>
      </c>
      <c r="M427">
        <f t="shared" ca="1" si="25"/>
        <v>163.5059696164256</v>
      </c>
    </row>
    <row r="428" spans="9:13" x14ac:dyDescent="0.25">
      <c r="I428">
        <v>368</v>
      </c>
      <c r="J428">
        <f t="shared" ca="1" si="22"/>
        <v>7.0186403320235832E-2</v>
      </c>
      <c r="K428">
        <f t="shared" ca="1" si="23"/>
        <v>0.41776644844921801</v>
      </c>
      <c r="L428">
        <f t="shared" ca="1" si="24"/>
        <v>0.10499049674067591</v>
      </c>
      <c r="M428">
        <f t="shared" ca="1" si="25"/>
        <v>185.63587523594322</v>
      </c>
    </row>
    <row r="429" spans="9:13" x14ac:dyDescent="0.25">
      <c r="I429">
        <v>369</v>
      </c>
      <c r="J429">
        <f t="shared" ca="1" si="22"/>
        <v>8.0435169438939844E-2</v>
      </c>
      <c r="K429">
        <f t="shared" ca="1" si="23"/>
        <v>0.41540898576496288</v>
      </c>
      <c r="L429">
        <f t="shared" ca="1" si="24"/>
        <v>0.11765169113631303</v>
      </c>
      <c r="M429">
        <f t="shared" ca="1" si="25"/>
        <v>167.36705164373086</v>
      </c>
    </row>
    <row r="430" spans="9:13" x14ac:dyDescent="0.25">
      <c r="I430">
        <v>370</v>
      </c>
      <c r="J430">
        <f t="shared" ca="1" si="22"/>
        <v>9.3305681055482009E-2</v>
      </c>
      <c r="K430">
        <f t="shared" ca="1" si="23"/>
        <v>0.41042370570262304</v>
      </c>
      <c r="L430">
        <f t="shared" ca="1" si="24"/>
        <v>0.11478692116623662</v>
      </c>
      <c r="M430">
        <f t="shared" ca="1" si="25"/>
        <v>181.0795121619139</v>
      </c>
    </row>
    <row r="431" spans="9:13" x14ac:dyDescent="0.25">
      <c r="I431">
        <v>371</v>
      </c>
      <c r="J431">
        <f t="shared" ca="1" si="22"/>
        <v>2.2570611421246257E-2</v>
      </c>
      <c r="K431">
        <f t="shared" ca="1" si="23"/>
        <v>0.45454957082060221</v>
      </c>
      <c r="L431">
        <f t="shared" ca="1" si="24"/>
        <v>0.12173844220068238</v>
      </c>
      <c r="M431">
        <f t="shared" ca="1" si="25"/>
        <v>132.97354078904286</v>
      </c>
    </row>
    <row r="432" spans="9:13" x14ac:dyDescent="0.25">
      <c r="I432">
        <v>372</v>
      </c>
      <c r="J432">
        <f t="shared" ca="1" si="22"/>
        <v>0.10512434319207514</v>
      </c>
      <c r="K432">
        <f t="shared" ca="1" si="23"/>
        <v>0.4306795098206358</v>
      </c>
      <c r="L432">
        <f t="shared" ca="1" si="24"/>
        <v>0.10702057626329102</v>
      </c>
      <c r="M432">
        <f t="shared" ca="1" si="25"/>
        <v>219.5235601036147</v>
      </c>
    </row>
    <row r="433" spans="9:13" x14ac:dyDescent="0.25">
      <c r="I433">
        <v>373</v>
      </c>
      <c r="J433">
        <f t="shared" ca="1" si="22"/>
        <v>0.11827422168386195</v>
      </c>
      <c r="K433">
        <f t="shared" ca="1" si="23"/>
        <v>0.42202450707791822</v>
      </c>
      <c r="L433">
        <f t="shared" ca="1" si="24"/>
        <v>0.11433654208169203</v>
      </c>
      <c r="M433">
        <f t="shared" ca="1" si="25"/>
        <v>209.73402545101766</v>
      </c>
    </row>
    <row r="434" spans="9:13" x14ac:dyDescent="0.25">
      <c r="I434">
        <v>374</v>
      </c>
      <c r="J434">
        <f t="shared" ca="1" si="22"/>
        <v>9.2801000196342492E-2</v>
      </c>
      <c r="K434">
        <f t="shared" ca="1" si="23"/>
        <v>0.45032717946220563</v>
      </c>
      <c r="L434">
        <f t="shared" ca="1" si="24"/>
        <v>0.11891442086961525</v>
      </c>
      <c r="M434">
        <f t="shared" ca="1" si="25"/>
        <v>189.72631458844236</v>
      </c>
    </row>
    <row r="435" spans="9:13" x14ac:dyDescent="0.25">
      <c r="I435">
        <v>375</v>
      </c>
      <c r="J435">
        <f t="shared" ca="1" si="22"/>
        <v>7.8334073854772743E-2</v>
      </c>
      <c r="K435">
        <f t="shared" ca="1" si="23"/>
        <v>0.42184511809986081</v>
      </c>
      <c r="L435">
        <f t="shared" ca="1" si="24"/>
        <v>0.12841446975002527</v>
      </c>
      <c r="M435">
        <f t="shared" ca="1" si="25"/>
        <v>150.92177249547129</v>
      </c>
    </row>
    <row r="436" spans="9:13" x14ac:dyDescent="0.25">
      <c r="I436">
        <v>376</v>
      </c>
      <c r="J436">
        <f t="shared" ca="1" si="22"/>
        <v>2.8671420565242578E-2</v>
      </c>
      <c r="K436">
        <f t="shared" ca="1" si="23"/>
        <v>0.42981658173319015</v>
      </c>
      <c r="L436">
        <f t="shared" ca="1" si="24"/>
        <v>0.12209039521140105</v>
      </c>
      <c r="M436">
        <f t="shared" ca="1" si="25"/>
        <v>129.02614897286259</v>
      </c>
    </row>
    <row r="437" spans="9:13" x14ac:dyDescent="0.25">
      <c r="I437">
        <v>377</v>
      </c>
      <c r="J437">
        <f t="shared" ca="1" si="22"/>
        <v>3.9685821639662937E-2</v>
      </c>
      <c r="K437">
        <f t="shared" ca="1" si="23"/>
        <v>0.44610639988400885</v>
      </c>
      <c r="L437">
        <f t="shared" ca="1" si="24"/>
        <v>0.12018476140401074</v>
      </c>
      <c r="M437">
        <f t="shared" ca="1" si="25"/>
        <v>144.20405737821724</v>
      </c>
    </row>
    <row r="438" spans="9:13" x14ac:dyDescent="0.25">
      <c r="I438">
        <v>378</v>
      </c>
      <c r="J438">
        <f t="shared" ca="1" si="22"/>
        <v>8.2023850418729644E-2</v>
      </c>
      <c r="K438">
        <f t="shared" ca="1" si="23"/>
        <v>0.45227704561144116</v>
      </c>
      <c r="L438">
        <f t="shared" ca="1" si="24"/>
        <v>0.11401500340972223</v>
      </c>
      <c r="M438">
        <f t="shared" ca="1" si="25"/>
        <v>191.16377623589187</v>
      </c>
    </row>
    <row r="439" spans="9:13" x14ac:dyDescent="0.25">
      <c r="I439">
        <v>379</v>
      </c>
      <c r="J439">
        <f t="shared" ca="1" si="22"/>
        <v>4.0432307658027196E-2</v>
      </c>
      <c r="K439">
        <f t="shared" ca="1" si="23"/>
        <v>0.43714113058393916</v>
      </c>
      <c r="L439">
        <f t="shared" ca="1" si="24"/>
        <v>9.563018579806401E-2</v>
      </c>
      <c r="M439">
        <f t="shared" ca="1" si="25"/>
        <v>190.77074443559644</v>
      </c>
    </row>
    <row r="440" spans="9:13" x14ac:dyDescent="0.25">
      <c r="I440">
        <v>380</v>
      </c>
      <c r="J440">
        <f t="shared" ca="1" si="22"/>
        <v>5.1849703891434701E-2</v>
      </c>
      <c r="K440">
        <f t="shared" ca="1" si="23"/>
        <v>0.48819360426981284</v>
      </c>
      <c r="L440">
        <f t="shared" ca="1" si="24"/>
        <v>0.10300732346212813</v>
      </c>
      <c r="M440">
        <f t="shared" ca="1" si="25"/>
        <v>204.11134981360073</v>
      </c>
    </row>
    <row r="441" spans="9:13" x14ac:dyDescent="0.25">
      <c r="I441">
        <v>381</v>
      </c>
      <c r="J441">
        <f t="shared" ca="1" si="22"/>
        <v>7.4804624312366869E-2</v>
      </c>
      <c r="K441">
        <f t="shared" ca="1" si="23"/>
        <v>0.44212627362780521</v>
      </c>
      <c r="L441">
        <f t="shared" ca="1" si="24"/>
        <v>0.10485898878375717</v>
      </c>
      <c r="M441">
        <f t="shared" ca="1" si="25"/>
        <v>201.19241455184988</v>
      </c>
    </row>
    <row r="442" spans="9:13" x14ac:dyDescent="0.25">
      <c r="I442">
        <v>382</v>
      </c>
      <c r="J442">
        <f t="shared" ca="1" si="22"/>
        <v>0.10241800727428764</v>
      </c>
      <c r="K442">
        <f t="shared" ca="1" si="23"/>
        <v>0.44650320727846748</v>
      </c>
      <c r="L442">
        <f t="shared" ca="1" si="24"/>
        <v>0.10544156097906418</v>
      </c>
      <c r="M442">
        <f t="shared" ca="1" si="25"/>
        <v>229.23222629612877</v>
      </c>
    </row>
    <row r="443" spans="9:13" x14ac:dyDescent="0.25">
      <c r="I443">
        <v>383</v>
      </c>
      <c r="J443">
        <f t="shared" ca="1" si="22"/>
        <v>8.258539881214072E-2</v>
      </c>
      <c r="K443">
        <f t="shared" ca="1" si="23"/>
        <v>0.42585150780013731</v>
      </c>
      <c r="L443">
        <f t="shared" ca="1" si="24"/>
        <v>9.5306000256106943E-2</v>
      </c>
      <c r="M443">
        <f t="shared" ca="1" si="25"/>
        <v>228.00361690248133</v>
      </c>
    </row>
    <row r="444" spans="9:13" x14ac:dyDescent="0.25">
      <c r="I444">
        <v>384</v>
      </c>
      <c r="J444">
        <f t="shared" ca="1" si="22"/>
        <v>4.0498365431443528E-2</v>
      </c>
      <c r="K444">
        <f t="shared" ca="1" si="23"/>
        <v>0.4174134323509498</v>
      </c>
      <c r="L444">
        <f t="shared" ca="1" si="24"/>
        <v>0.11235193690549877</v>
      </c>
      <c r="M444">
        <f t="shared" ca="1" si="25"/>
        <v>147.43570040237205</v>
      </c>
    </row>
    <row r="445" spans="9:13" x14ac:dyDescent="0.25">
      <c r="I445">
        <v>385</v>
      </c>
      <c r="J445">
        <f t="shared" ca="1" si="22"/>
        <v>6.0676583908304896E-2</v>
      </c>
      <c r="K445">
        <f t="shared" ca="1" si="23"/>
        <v>0.4962611652348331</v>
      </c>
      <c r="L445">
        <f t="shared" ca="1" si="24"/>
        <v>0.11476468510804112</v>
      </c>
      <c r="M445">
        <f t="shared" ca="1" si="25"/>
        <v>188.27948116561035</v>
      </c>
    </row>
    <row r="446" spans="9:13" x14ac:dyDescent="0.25">
      <c r="I446">
        <v>386</v>
      </c>
      <c r="J446">
        <f t="shared" ref="J446:J509" ca="1" si="26">_xlfn.NORM.INV(RAND(),0.085,0.03)</f>
        <v>0.11305871557371204</v>
      </c>
      <c r="K446">
        <f t="shared" ref="K446:K509" ca="1" si="27">_xlfn.NORM.INV(RAND(),0.435,0.03)</f>
        <v>0.41817633070727939</v>
      </c>
      <c r="L446">
        <f t="shared" ref="L446:L509" ca="1" si="28">_xlfn.NORM.INV(RAND(),0.1106,0.01)</f>
        <v>0.12598115969138859</v>
      </c>
      <c r="M446">
        <f t="shared" ref="M446:M509" ca="1" si="29">((416.161*(1+J446)^5*K446*(1-(1+L446)^-5)/L446)+(416.161*(1+J446)^5*K446*(1+0.025)/(L446-0.025)*(1+L446)^-5)-78.328+54.697)/15.02</f>
        <v>179.7479620878662</v>
      </c>
    </row>
    <row r="447" spans="9:13" x14ac:dyDescent="0.25">
      <c r="I447">
        <v>387</v>
      </c>
      <c r="J447">
        <f t="shared" ca="1" si="26"/>
        <v>7.0549680987858007E-2</v>
      </c>
      <c r="K447">
        <f t="shared" ca="1" si="27"/>
        <v>0.42527507783042157</v>
      </c>
      <c r="L447">
        <f t="shared" ca="1" si="28"/>
        <v>0.10702537048782713</v>
      </c>
      <c r="M447">
        <f t="shared" ca="1" si="29"/>
        <v>184.65757980465222</v>
      </c>
    </row>
    <row r="448" spans="9:13" x14ac:dyDescent="0.25">
      <c r="I448">
        <v>388</v>
      </c>
      <c r="J448">
        <f t="shared" ca="1" si="26"/>
        <v>8.2691169360859157E-2</v>
      </c>
      <c r="K448">
        <f t="shared" ca="1" si="27"/>
        <v>0.44899396004717929</v>
      </c>
      <c r="L448">
        <f t="shared" ca="1" si="28"/>
        <v>0.11482759339977019</v>
      </c>
      <c r="M448">
        <f t="shared" ca="1" si="29"/>
        <v>188.646536720971</v>
      </c>
    </row>
    <row r="449" spans="9:13" x14ac:dyDescent="0.25">
      <c r="I449">
        <v>389</v>
      </c>
      <c r="J449">
        <f t="shared" ca="1" si="26"/>
        <v>5.865976693334507E-2</v>
      </c>
      <c r="K449">
        <f t="shared" ca="1" si="27"/>
        <v>0.44438074796420424</v>
      </c>
      <c r="L449">
        <f t="shared" ca="1" si="28"/>
        <v>0.11046251633247588</v>
      </c>
      <c r="M449">
        <f t="shared" ca="1" si="29"/>
        <v>175.16336760793232</v>
      </c>
    </row>
    <row r="450" spans="9:13" x14ac:dyDescent="0.25">
      <c r="I450">
        <v>390</v>
      </c>
      <c r="J450">
        <f t="shared" ca="1" si="26"/>
        <v>9.9880007618468741E-2</v>
      </c>
      <c r="K450">
        <f t="shared" ca="1" si="27"/>
        <v>0.44448623764640127</v>
      </c>
      <c r="L450">
        <f t="shared" ca="1" si="28"/>
        <v>0.12398079538561131</v>
      </c>
      <c r="M450">
        <f t="shared" ca="1" si="29"/>
        <v>183.62010940013403</v>
      </c>
    </row>
    <row r="451" spans="9:13" x14ac:dyDescent="0.25">
      <c r="I451">
        <v>391</v>
      </c>
      <c r="J451">
        <f t="shared" ca="1" si="26"/>
        <v>8.1618036720189635E-2</v>
      </c>
      <c r="K451">
        <f t="shared" ca="1" si="27"/>
        <v>0.38596292320369591</v>
      </c>
      <c r="L451">
        <f t="shared" ca="1" si="28"/>
        <v>9.9392610045409641E-2</v>
      </c>
      <c r="M451">
        <f t="shared" ca="1" si="29"/>
        <v>194.34317051943881</v>
      </c>
    </row>
    <row r="452" spans="9:13" x14ac:dyDescent="0.25">
      <c r="I452">
        <v>392</v>
      </c>
      <c r="J452">
        <f t="shared" ca="1" si="26"/>
        <v>8.1932818496892365E-2</v>
      </c>
      <c r="K452">
        <f t="shared" ca="1" si="27"/>
        <v>0.40803282863469426</v>
      </c>
      <c r="L452">
        <f t="shared" ca="1" si="28"/>
        <v>0.13726890265512245</v>
      </c>
      <c r="M452">
        <f t="shared" ca="1" si="29"/>
        <v>136.78013539430836</v>
      </c>
    </row>
    <row r="453" spans="9:13" x14ac:dyDescent="0.25">
      <c r="I453">
        <v>393</v>
      </c>
      <c r="J453">
        <f t="shared" ca="1" si="26"/>
        <v>7.8337414761737278E-2</v>
      </c>
      <c r="K453">
        <f t="shared" ca="1" si="27"/>
        <v>0.45207140213107627</v>
      </c>
      <c r="L453">
        <f t="shared" ca="1" si="28"/>
        <v>0.11834309764501573</v>
      </c>
      <c r="M453">
        <f t="shared" ca="1" si="29"/>
        <v>179.17234406493714</v>
      </c>
    </row>
    <row r="454" spans="9:13" x14ac:dyDescent="0.25">
      <c r="I454">
        <v>394</v>
      </c>
      <c r="J454">
        <f t="shared" ca="1" si="26"/>
        <v>0.13421066371281543</v>
      </c>
      <c r="K454">
        <f t="shared" ca="1" si="27"/>
        <v>0.45114232837557855</v>
      </c>
      <c r="L454">
        <f t="shared" ca="1" si="28"/>
        <v>0.10944608637240842</v>
      </c>
      <c r="M454">
        <f t="shared" ca="1" si="29"/>
        <v>254.69121929087842</v>
      </c>
    </row>
    <row r="455" spans="9:13" x14ac:dyDescent="0.25">
      <c r="I455">
        <v>395</v>
      </c>
      <c r="J455">
        <f t="shared" ca="1" si="26"/>
        <v>0.10941365637600656</v>
      </c>
      <c r="K455">
        <f t="shared" ca="1" si="27"/>
        <v>0.44663435660114204</v>
      </c>
      <c r="L455">
        <f t="shared" ca="1" si="28"/>
        <v>0.10705355840815185</v>
      </c>
      <c r="M455">
        <f t="shared" ca="1" si="29"/>
        <v>232.10603022708864</v>
      </c>
    </row>
    <row r="456" spans="9:13" x14ac:dyDescent="0.25">
      <c r="I456">
        <v>396</v>
      </c>
      <c r="J456">
        <f t="shared" ca="1" si="26"/>
        <v>0.10245581038159422</v>
      </c>
      <c r="K456">
        <f t="shared" ca="1" si="27"/>
        <v>0.45060490417378318</v>
      </c>
      <c r="L456">
        <f t="shared" ca="1" si="28"/>
        <v>0.10208762634020413</v>
      </c>
      <c r="M456">
        <f t="shared" ca="1" si="29"/>
        <v>241.37855016040848</v>
      </c>
    </row>
    <row r="457" spans="9:13" x14ac:dyDescent="0.25">
      <c r="I457">
        <v>397</v>
      </c>
      <c r="J457">
        <f t="shared" ca="1" si="26"/>
        <v>0.11571773098698107</v>
      </c>
      <c r="K457">
        <f t="shared" ca="1" si="27"/>
        <v>0.41697797350137805</v>
      </c>
      <c r="L457">
        <f t="shared" ca="1" si="28"/>
        <v>0.11707539347170635</v>
      </c>
      <c r="M457">
        <f t="shared" ca="1" si="29"/>
        <v>198.78842759471121</v>
      </c>
    </row>
    <row r="458" spans="9:13" x14ac:dyDescent="0.25">
      <c r="I458">
        <v>398</v>
      </c>
      <c r="J458">
        <f t="shared" ca="1" si="26"/>
        <v>6.0234284329751267E-2</v>
      </c>
      <c r="K458">
        <f t="shared" ca="1" si="27"/>
        <v>0.42847151633364572</v>
      </c>
      <c r="L458">
        <f t="shared" ca="1" si="28"/>
        <v>9.8895978201208629E-2</v>
      </c>
      <c r="M458">
        <f t="shared" ca="1" si="29"/>
        <v>196.5591514983272</v>
      </c>
    </row>
    <row r="459" spans="9:13" x14ac:dyDescent="0.25">
      <c r="I459">
        <v>399</v>
      </c>
      <c r="J459">
        <f t="shared" ca="1" si="26"/>
        <v>0.10627367606538095</v>
      </c>
      <c r="K459">
        <f t="shared" ca="1" si="27"/>
        <v>0.45707305262179609</v>
      </c>
      <c r="L459">
        <f t="shared" ca="1" si="28"/>
        <v>0.12464405627070387</v>
      </c>
      <c r="M459">
        <f t="shared" ca="1" si="29"/>
        <v>193.18133265353521</v>
      </c>
    </row>
    <row r="460" spans="9:13" x14ac:dyDescent="0.25">
      <c r="I460">
        <v>400</v>
      </c>
      <c r="J460">
        <f t="shared" ca="1" si="26"/>
        <v>0.11174525764000472</v>
      </c>
      <c r="K460">
        <f t="shared" ca="1" si="27"/>
        <v>0.39812446247864819</v>
      </c>
      <c r="L460">
        <f t="shared" ca="1" si="28"/>
        <v>0.10047507214807257</v>
      </c>
      <c r="M460">
        <f t="shared" ca="1" si="29"/>
        <v>226.99443013836742</v>
      </c>
    </row>
    <row r="461" spans="9:13" x14ac:dyDescent="0.25">
      <c r="I461">
        <v>401</v>
      </c>
      <c r="J461">
        <f t="shared" ca="1" si="26"/>
        <v>0.10282064869840461</v>
      </c>
      <c r="K461">
        <f t="shared" ca="1" si="27"/>
        <v>0.3638285506471361</v>
      </c>
      <c r="L461">
        <f t="shared" ca="1" si="28"/>
        <v>0.10323944982108473</v>
      </c>
      <c r="M461">
        <f t="shared" ca="1" si="29"/>
        <v>192.06476140906611</v>
      </c>
    </row>
    <row r="462" spans="9:13" x14ac:dyDescent="0.25">
      <c r="I462">
        <v>402</v>
      </c>
      <c r="J462">
        <f t="shared" ca="1" si="26"/>
        <v>2.5552917153791745E-2</v>
      </c>
      <c r="K462">
        <f t="shared" ca="1" si="27"/>
        <v>0.44702043243987333</v>
      </c>
      <c r="L462">
        <f t="shared" ca="1" si="28"/>
        <v>0.10401556615225896</v>
      </c>
      <c r="M462">
        <f t="shared" ca="1" si="29"/>
        <v>162.28269527397993</v>
      </c>
    </row>
    <row r="463" spans="9:13" x14ac:dyDescent="0.25">
      <c r="I463">
        <v>403</v>
      </c>
      <c r="J463">
        <f t="shared" ca="1" si="26"/>
        <v>0.10259161419633366</v>
      </c>
      <c r="K463">
        <f t="shared" ca="1" si="27"/>
        <v>0.47132429924515762</v>
      </c>
      <c r="L463">
        <f t="shared" ca="1" si="28"/>
        <v>0.11956132380572573</v>
      </c>
      <c r="M463">
        <f t="shared" ca="1" si="29"/>
        <v>206.36824756568495</v>
      </c>
    </row>
    <row r="464" spans="9:13" x14ac:dyDescent="0.25">
      <c r="I464">
        <v>404</v>
      </c>
      <c r="J464">
        <f t="shared" ca="1" si="26"/>
        <v>9.9662699217662395E-2</v>
      </c>
      <c r="K464">
        <f t="shared" ca="1" si="27"/>
        <v>0.38239308798490385</v>
      </c>
      <c r="L464">
        <f t="shared" ca="1" si="28"/>
        <v>0.11049445989489781</v>
      </c>
      <c r="M464">
        <f t="shared" ca="1" si="29"/>
        <v>182.26545749094564</v>
      </c>
    </row>
    <row r="465" spans="9:13" x14ac:dyDescent="0.25">
      <c r="I465">
        <v>405</v>
      </c>
      <c r="J465">
        <f t="shared" ca="1" si="26"/>
        <v>6.5503455836037047E-2</v>
      </c>
      <c r="K465">
        <f t="shared" ca="1" si="27"/>
        <v>0.46048787399336344</v>
      </c>
      <c r="L465">
        <f t="shared" ca="1" si="28"/>
        <v>0.10517053944112981</v>
      </c>
      <c r="M465">
        <f t="shared" ca="1" si="29"/>
        <v>199.85793796920041</v>
      </c>
    </row>
    <row r="466" spans="9:13" x14ac:dyDescent="0.25">
      <c r="I466">
        <v>406</v>
      </c>
      <c r="J466">
        <f t="shared" ca="1" si="26"/>
        <v>8.6088363212203325E-2</v>
      </c>
      <c r="K466">
        <f t="shared" ca="1" si="27"/>
        <v>0.42686332850172853</v>
      </c>
      <c r="L466">
        <f t="shared" ca="1" si="28"/>
        <v>0.11319014499371428</v>
      </c>
      <c r="M466">
        <f t="shared" ca="1" si="29"/>
        <v>185.48237623889301</v>
      </c>
    </row>
    <row r="467" spans="9:13" x14ac:dyDescent="0.25">
      <c r="I467">
        <v>407</v>
      </c>
      <c r="J467">
        <f t="shared" ca="1" si="26"/>
        <v>9.5241860244319326E-2</v>
      </c>
      <c r="K467">
        <f t="shared" ca="1" si="27"/>
        <v>0.40471290959346801</v>
      </c>
      <c r="L467">
        <f t="shared" ca="1" si="28"/>
        <v>0.11766733499825706</v>
      </c>
      <c r="M467">
        <f t="shared" ca="1" si="29"/>
        <v>174.57929154819061</v>
      </c>
    </row>
    <row r="468" spans="9:13" x14ac:dyDescent="0.25">
      <c r="I468">
        <v>408</v>
      </c>
      <c r="J468">
        <f t="shared" ca="1" si="26"/>
        <v>4.72649238958361E-2</v>
      </c>
      <c r="K468">
        <f t="shared" ca="1" si="27"/>
        <v>0.43586032409204167</v>
      </c>
      <c r="L468">
        <f t="shared" ca="1" si="28"/>
        <v>0.10531978746087013</v>
      </c>
      <c r="M468">
        <f t="shared" ca="1" si="29"/>
        <v>172.99626693596039</v>
      </c>
    </row>
    <row r="469" spans="9:13" x14ac:dyDescent="0.25">
      <c r="I469">
        <v>409</v>
      </c>
      <c r="J469">
        <f t="shared" ca="1" si="26"/>
        <v>9.9470209304314217E-2</v>
      </c>
      <c r="K469">
        <f t="shared" ca="1" si="27"/>
        <v>0.40860185332229487</v>
      </c>
      <c r="L469">
        <f t="shared" ca="1" si="28"/>
        <v>0.12069839368561645</v>
      </c>
      <c r="M469">
        <f t="shared" ca="1" si="29"/>
        <v>174.0814905982574</v>
      </c>
    </row>
    <row r="470" spans="9:13" x14ac:dyDescent="0.25">
      <c r="I470">
        <v>410</v>
      </c>
      <c r="J470">
        <f t="shared" ca="1" si="26"/>
        <v>9.3887905459748955E-2</v>
      </c>
      <c r="K470">
        <f t="shared" ca="1" si="27"/>
        <v>0.40197243431342722</v>
      </c>
      <c r="L470">
        <f t="shared" ca="1" si="28"/>
        <v>9.2588524592140342E-2</v>
      </c>
      <c r="M470">
        <f t="shared" ca="1" si="29"/>
        <v>235.73562787835692</v>
      </c>
    </row>
    <row r="471" spans="9:13" x14ac:dyDescent="0.25">
      <c r="I471">
        <v>411</v>
      </c>
      <c r="J471">
        <f t="shared" ca="1" si="26"/>
        <v>0.1123752186603682</v>
      </c>
      <c r="K471">
        <f t="shared" ca="1" si="27"/>
        <v>0.37646726278802933</v>
      </c>
      <c r="L471">
        <f t="shared" ca="1" si="28"/>
        <v>0.10328661807017693</v>
      </c>
      <c r="M471">
        <f t="shared" ca="1" si="29"/>
        <v>207.49841080757687</v>
      </c>
    </row>
    <row r="472" spans="9:13" x14ac:dyDescent="0.25">
      <c r="I472">
        <v>412</v>
      </c>
      <c r="J472">
        <f t="shared" ca="1" si="26"/>
        <v>0.10369212090746018</v>
      </c>
      <c r="K472">
        <f t="shared" ca="1" si="27"/>
        <v>0.47876868528230376</v>
      </c>
      <c r="L472">
        <f t="shared" ca="1" si="28"/>
        <v>0.10899654353838821</v>
      </c>
      <c r="M472">
        <f t="shared" ca="1" si="29"/>
        <v>236.96311222969877</v>
      </c>
    </row>
    <row r="473" spans="9:13" x14ac:dyDescent="0.25">
      <c r="I473">
        <v>413</v>
      </c>
      <c r="J473">
        <f t="shared" ca="1" si="26"/>
        <v>7.5854389177491321E-2</v>
      </c>
      <c r="K473">
        <f t="shared" ca="1" si="27"/>
        <v>0.4089721547208684</v>
      </c>
      <c r="L473">
        <f t="shared" ca="1" si="28"/>
        <v>8.898239389856355E-2</v>
      </c>
      <c r="M473">
        <f t="shared" ca="1" si="29"/>
        <v>232.97124756014725</v>
      </c>
    </row>
    <row r="474" spans="9:13" x14ac:dyDescent="0.25">
      <c r="I474">
        <v>414</v>
      </c>
      <c r="J474">
        <f t="shared" ca="1" si="26"/>
        <v>7.5198624151007462E-2</v>
      </c>
      <c r="K474">
        <f t="shared" ca="1" si="27"/>
        <v>0.47404803526282424</v>
      </c>
      <c r="L474">
        <f t="shared" ca="1" si="28"/>
        <v>9.9219588456463934E-2</v>
      </c>
      <c r="M474">
        <f t="shared" ca="1" si="29"/>
        <v>232.53608656379694</v>
      </c>
    </row>
    <row r="475" spans="9:13" x14ac:dyDescent="0.25">
      <c r="I475">
        <v>415</v>
      </c>
      <c r="J475">
        <f t="shared" ca="1" si="26"/>
        <v>8.9122331098567001E-2</v>
      </c>
      <c r="K475">
        <f t="shared" ca="1" si="27"/>
        <v>0.37827339158189571</v>
      </c>
      <c r="L475">
        <f t="shared" ca="1" si="28"/>
        <v>0.11578917062056486</v>
      </c>
      <c r="M475">
        <f t="shared" ca="1" si="29"/>
        <v>161.78104015940062</v>
      </c>
    </row>
    <row r="476" spans="9:13" x14ac:dyDescent="0.25">
      <c r="I476">
        <v>416</v>
      </c>
      <c r="J476">
        <f t="shared" ca="1" si="26"/>
        <v>0.11519826914592252</v>
      </c>
      <c r="K476">
        <f t="shared" ca="1" si="27"/>
        <v>0.3957420336872351</v>
      </c>
      <c r="L476">
        <f t="shared" ca="1" si="28"/>
        <v>0.11690073982687794</v>
      </c>
      <c r="M476">
        <f t="shared" ca="1" si="29"/>
        <v>188.49684089176515</v>
      </c>
    </row>
    <row r="477" spans="9:13" x14ac:dyDescent="0.25">
      <c r="I477">
        <v>417</v>
      </c>
      <c r="J477">
        <f t="shared" ca="1" si="26"/>
        <v>8.2339056738785235E-2</v>
      </c>
      <c r="K477">
        <f t="shared" ca="1" si="27"/>
        <v>0.48855991847079777</v>
      </c>
      <c r="L477">
        <f t="shared" ca="1" si="28"/>
        <v>0.10479808444338998</v>
      </c>
      <c r="M477">
        <f t="shared" ca="1" si="29"/>
        <v>230.62634675220602</v>
      </c>
    </row>
    <row r="478" spans="9:13" x14ac:dyDescent="0.25">
      <c r="I478">
        <v>418</v>
      </c>
      <c r="J478">
        <f t="shared" ca="1" si="26"/>
        <v>9.6563871453749797E-2</v>
      </c>
      <c r="K478">
        <f t="shared" ca="1" si="27"/>
        <v>0.42734472136342139</v>
      </c>
      <c r="L478">
        <f t="shared" ca="1" si="28"/>
        <v>0.11422419295558497</v>
      </c>
      <c r="M478">
        <f t="shared" ca="1" si="29"/>
        <v>192.65889105661483</v>
      </c>
    </row>
    <row r="479" spans="9:13" x14ac:dyDescent="0.25">
      <c r="I479">
        <v>419</v>
      </c>
      <c r="J479">
        <f t="shared" ca="1" si="26"/>
        <v>0.10389698925352407</v>
      </c>
      <c r="K479">
        <f t="shared" ca="1" si="27"/>
        <v>0.42465801426180116</v>
      </c>
      <c r="L479">
        <f t="shared" ca="1" si="28"/>
        <v>0.13126326603404426</v>
      </c>
      <c r="M479">
        <f t="shared" ca="1" si="29"/>
        <v>166.4706938651166</v>
      </c>
    </row>
    <row r="480" spans="9:13" x14ac:dyDescent="0.25">
      <c r="I480">
        <v>420</v>
      </c>
      <c r="J480">
        <f t="shared" ca="1" si="26"/>
        <v>5.097579816321867E-2</v>
      </c>
      <c r="K480">
        <f t="shared" ca="1" si="27"/>
        <v>0.42505707033536932</v>
      </c>
      <c r="L480">
        <f t="shared" ca="1" si="28"/>
        <v>9.9020765305806543E-2</v>
      </c>
      <c r="M480">
        <f t="shared" ca="1" si="29"/>
        <v>186.23406798408072</v>
      </c>
    </row>
    <row r="481" spans="9:13" x14ac:dyDescent="0.25">
      <c r="I481">
        <v>421</v>
      </c>
      <c r="J481">
        <f t="shared" ca="1" si="26"/>
        <v>8.7517046957024808E-2</v>
      </c>
      <c r="K481">
        <f t="shared" ca="1" si="27"/>
        <v>0.42745552875891923</v>
      </c>
      <c r="L481">
        <f t="shared" ca="1" si="28"/>
        <v>0.10573286743485728</v>
      </c>
      <c r="M481">
        <f t="shared" ca="1" si="29"/>
        <v>204.11738743348471</v>
      </c>
    </row>
    <row r="482" spans="9:13" x14ac:dyDescent="0.25">
      <c r="I482">
        <v>422</v>
      </c>
      <c r="J482">
        <f t="shared" ca="1" si="26"/>
        <v>7.2781188682478903E-2</v>
      </c>
      <c r="K482">
        <f t="shared" ca="1" si="27"/>
        <v>0.47341967687419728</v>
      </c>
      <c r="L482">
        <f t="shared" ca="1" si="28"/>
        <v>0.11509176963810105</v>
      </c>
      <c r="M482">
        <f t="shared" ca="1" si="29"/>
        <v>189.42929015324387</v>
      </c>
    </row>
    <row r="483" spans="9:13" x14ac:dyDescent="0.25">
      <c r="I483">
        <v>423</v>
      </c>
      <c r="J483">
        <f t="shared" ca="1" si="26"/>
        <v>0.10787281584708233</v>
      </c>
      <c r="K483">
        <f t="shared" ca="1" si="27"/>
        <v>0.41450835741465913</v>
      </c>
      <c r="L483">
        <f t="shared" ca="1" si="28"/>
        <v>0.10560079040686195</v>
      </c>
      <c r="M483">
        <f t="shared" ca="1" si="29"/>
        <v>217.61973998827975</v>
      </c>
    </row>
    <row r="484" spans="9:13" x14ac:dyDescent="0.25">
      <c r="I484">
        <v>424</v>
      </c>
      <c r="J484">
        <f t="shared" ca="1" si="26"/>
        <v>4.8505430859767946E-2</v>
      </c>
      <c r="K484">
        <f t="shared" ca="1" si="27"/>
        <v>0.45380810219818429</v>
      </c>
      <c r="L484">
        <f t="shared" ca="1" si="28"/>
        <v>0.11942125806020126</v>
      </c>
      <c r="M484">
        <f t="shared" ca="1" si="29"/>
        <v>154.34851973296534</v>
      </c>
    </row>
    <row r="485" spans="9:13" x14ac:dyDescent="0.25">
      <c r="I485">
        <v>425</v>
      </c>
      <c r="J485">
        <f t="shared" ca="1" si="26"/>
        <v>0.10213273390196209</v>
      </c>
      <c r="K485">
        <f t="shared" ca="1" si="27"/>
        <v>0.43508232592078605</v>
      </c>
      <c r="L485">
        <f t="shared" ca="1" si="28"/>
        <v>0.12564897136418315</v>
      </c>
      <c r="M485">
        <f t="shared" ca="1" si="29"/>
        <v>178.58174442327299</v>
      </c>
    </row>
    <row r="486" spans="9:13" x14ac:dyDescent="0.25">
      <c r="I486">
        <v>426</v>
      </c>
      <c r="J486">
        <f t="shared" ca="1" si="26"/>
        <v>5.7262648249902889E-2</v>
      </c>
      <c r="K486">
        <f t="shared" ca="1" si="27"/>
        <v>0.4343118068084208</v>
      </c>
      <c r="L486">
        <f t="shared" ca="1" si="28"/>
        <v>0.10614536647038521</v>
      </c>
      <c r="M486">
        <f t="shared" ca="1" si="29"/>
        <v>179.01046605400086</v>
      </c>
    </row>
    <row r="487" spans="9:13" x14ac:dyDescent="0.25">
      <c r="I487">
        <v>427</v>
      </c>
      <c r="J487">
        <f t="shared" ca="1" si="26"/>
        <v>7.390930672999961E-2</v>
      </c>
      <c r="K487">
        <f t="shared" ca="1" si="27"/>
        <v>0.43585697592338046</v>
      </c>
      <c r="L487">
        <f t="shared" ca="1" si="28"/>
        <v>0.10512119411814894</v>
      </c>
      <c r="M487">
        <f t="shared" ca="1" si="29"/>
        <v>196.8441287569126</v>
      </c>
    </row>
    <row r="488" spans="9:13" x14ac:dyDescent="0.25">
      <c r="I488">
        <v>428</v>
      </c>
      <c r="J488">
        <f t="shared" ca="1" si="26"/>
        <v>9.6153940546127442E-2</v>
      </c>
      <c r="K488">
        <f t="shared" ca="1" si="27"/>
        <v>0.41096432198670729</v>
      </c>
      <c r="L488">
        <f t="shared" ca="1" si="28"/>
        <v>0.10564943251923677</v>
      </c>
      <c r="M488">
        <f t="shared" ca="1" si="29"/>
        <v>204.36998891851914</v>
      </c>
    </row>
    <row r="489" spans="9:13" x14ac:dyDescent="0.25">
      <c r="I489">
        <v>429</v>
      </c>
      <c r="J489">
        <f t="shared" ca="1" si="26"/>
        <v>5.0196545502587807E-2</v>
      </c>
      <c r="K489">
        <f t="shared" ca="1" si="27"/>
        <v>0.45365654837590708</v>
      </c>
      <c r="L489">
        <f t="shared" ca="1" si="28"/>
        <v>0.10603549934699402</v>
      </c>
      <c r="M489">
        <f t="shared" ca="1" si="29"/>
        <v>181.0778693648173</v>
      </c>
    </row>
    <row r="490" spans="9:13" x14ac:dyDescent="0.25">
      <c r="I490">
        <v>430</v>
      </c>
      <c r="J490">
        <f t="shared" ca="1" si="26"/>
        <v>7.4744021076467451E-2</v>
      </c>
      <c r="K490">
        <f t="shared" ca="1" si="27"/>
        <v>0.42567293852741506</v>
      </c>
      <c r="L490">
        <f t="shared" ca="1" si="28"/>
        <v>0.10110289118390324</v>
      </c>
      <c r="M490">
        <f t="shared" ca="1" si="29"/>
        <v>203.08241853935041</v>
      </c>
    </row>
    <row r="491" spans="9:13" x14ac:dyDescent="0.25">
      <c r="I491">
        <v>431</v>
      </c>
      <c r="J491">
        <f t="shared" ca="1" si="26"/>
        <v>6.0786412864215426E-2</v>
      </c>
      <c r="K491">
        <f t="shared" ca="1" si="27"/>
        <v>0.489610796193575</v>
      </c>
      <c r="L491">
        <f t="shared" ca="1" si="28"/>
        <v>0.10977550405437002</v>
      </c>
      <c r="M491">
        <f t="shared" ca="1" si="29"/>
        <v>196.68522319429431</v>
      </c>
    </row>
    <row r="492" spans="9:13" x14ac:dyDescent="0.25">
      <c r="I492">
        <v>432</v>
      </c>
      <c r="J492">
        <f t="shared" ca="1" si="26"/>
        <v>7.158493907347746E-2</v>
      </c>
      <c r="K492">
        <f t="shared" ca="1" si="27"/>
        <v>0.46001410169568185</v>
      </c>
      <c r="L492">
        <f t="shared" ca="1" si="28"/>
        <v>0.10661278468666813</v>
      </c>
      <c r="M492">
        <f t="shared" ca="1" si="29"/>
        <v>201.85400107500712</v>
      </c>
    </row>
    <row r="493" spans="9:13" x14ac:dyDescent="0.25">
      <c r="I493">
        <v>433</v>
      </c>
      <c r="J493">
        <f t="shared" ca="1" si="26"/>
        <v>7.6074837349893454E-3</v>
      </c>
      <c r="K493">
        <f t="shared" ca="1" si="27"/>
        <v>0.43867603986691561</v>
      </c>
      <c r="L493">
        <f t="shared" ca="1" si="28"/>
        <v>0.10670401702121259</v>
      </c>
      <c r="M493">
        <f t="shared" ca="1" si="29"/>
        <v>140.86536997781928</v>
      </c>
    </row>
    <row r="494" spans="9:13" x14ac:dyDescent="0.25">
      <c r="I494">
        <v>434</v>
      </c>
      <c r="J494">
        <f t="shared" ca="1" si="26"/>
        <v>7.5043764816671674E-2</v>
      </c>
      <c r="K494">
        <f t="shared" ca="1" si="27"/>
        <v>0.3981301117834381</v>
      </c>
      <c r="L494">
        <f t="shared" ca="1" si="28"/>
        <v>0.12727975496187277</v>
      </c>
      <c r="M494">
        <f t="shared" ca="1" si="29"/>
        <v>141.71166515277312</v>
      </c>
    </row>
    <row r="495" spans="9:13" x14ac:dyDescent="0.25">
      <c r="I495">
        <v>435</v>
      </c>
      <c r="J495">
        <f t="shared" ca="1" si="26"/>
        <v>0.12159592387335183</v>
      </c>
      <c r="K495">
        <f t="shared" ca="1" si="27"/>
        <v>0.44522022283992352</v>
      </c>
      <c r="L495">
        <f t="shared" ca="1" si="28"/>
        <v>0.12279922179917642</v>
      </c>
      <c r="M495">
        <f t="shared" ca="1" si="29"/>
        <v>205.40531698811901</v>
      </c>
    </row>
    <row r="496" spans="9:13" x14ac:dyDescent="0.25">
      <c r="I496">
        <v>436</v>
      </c>
      <c r="J496">
        <f t="shared" ca="1" si="26"/>
        <v>8.9090681728356505E-2</v>
      </c>
      <c r="K496">
        <f t="shared" ca="1" si="27"/>
        <v>0.43721015833470672</v>
      </c>
      <c r="L496">
        <f t="shared" ca="1" si="28"/>
        <v>0.10601725471329176</v>
      </c>
      <c r="M496">
        <f t="shared" ca="1" si="29"/>
        <v>209.60493117110278</v>
      </c>
    </row>
    <row r="497" spans="9:13" x14ac:dyDescent="0.25">
      <c r="I497">
        <v>437</v>
      </c>
      <c r="J497">
        <f t="shared" ca="1" si="26"/>
        <v>9.0747873002279961E-2</v>
      </c>
      <c r="K497">
        <f t="shared" ca="1" si="27"/>
        <v>0.46828687132324265</v>
      </c>
      <c r="L497">
        <f t="shared" ca="1" si="28"/>
        <v>0.12216256568028011</v>
      </c>
      <c r="M497">
        <f t="shared" ca="1" si="29"/>
        <v>189.01285311151574</v>
      </c>
    </row>
    <row r="498" spans="9:13" x14ac:dyDescent="0.25">
      <c r="I498">
        <v>438</v>
      </c>
      <c r="J498">
        <f t="shared" ca="1" si="26"/>
        <v>0.11663536418317449</v>
      </c>
      <c r="K498">
        <f t="shared" ca="1" si="27"/>
        <v>0.41520831729586666</v>
      </c>
      <c r="L498">
        <f t="shared" ca="1" si="28"/>
        <v>0.10506357963659402</v>
      </c>
      <c r="M498">
        <f t="shared" ca="1" si="29"/>
        <v>228.32118680951589</v>
      </c>
    </row>
    <row r="499" spans="9:13" x14ac:dyDescent="0.25">
      <c r="I499">
        <v>439</v>
      </c>
      <c r="J499">
        <f t="shared" ca="1" si="26"/>
        <v>7.5490881831046408E-2</v>
      </c>
      <c r="K499">
        <f t="shared" ca="1" si="27"/>
        <v>0.37453480649201065</v>
      </c>
      <c r="L499">
        <f t="shared" ca="1" si="28"/>
        <v>0.10775430453791923</v>
      </c>
      <c r="M499">
        <f t="shared" ca="1" si="29"/>
        <v>164.80185285032999</v>
      </c>
    </row>
    <row r="500" spans="9:13" x14ac:dyDescent="0.25">
      <c r="I500">
        <v>440</v>
      </c>
      <c r="J500">
        <f t="shared" ca="1" si="26"/>
        <v>7.2936256235338809E-2</v>
      </c>
      <c r="K500">
        <f t="shared" ca="1" si="27"/>
        <v>0.41743425882616986</v>
      </c>
      <c r="L500">
        <f t="shared" ca="1" si="28"/>
        <v>0.11051176911043294</v>
      </c>
      <c r="M500">
        <f t="shared" ca="1" si="29"/>
        <v>175.84593211886695</v>
      </c>
    </row>
    <row r="501" spans="9:13" x14ac:dyDescent="0.25">
      <c r="I501">
        <v>441</v>
      </c>
      <c r="J501">
        <f t="shared" ca="1" si="26"/>
        <v>6.8143340127707147E-2</v>
      </c>
      <c r="K501">
        <f t="shared" ca="1" si="27"/>
        <v>0.46683791826994481</v>
      </c>
      <c r="L501">
        <f t="shared" ca="1" si="28"/>
        <v>0.11229641397431475</v>
      </c>
      <c r="M501">
        <f t="shared" ca="1" si="29"/>
        <v>188.54535054366823</v>
      </c>
    </row>
    <row r="502" spans="9:13" x14ac:dyDescent="0.25">
      <c r="I502">
        <v>442</v>
      </c>
      <c r="J502">
        <f t="shared" ca="1" si="26"/>
        <v>5.0842599056327376E-2</v>
      </c>
      <c r="K502">
        <f t="shared" ca="1" si="27"/>
        <v>0.38895694371804757</v>
      </c>
      <c r="L502">
        <f t="shared" ca="1" si="28"/>
        <v>0.10993156429891346</v>
      </c>
      <c r="M502">
        <f t="shared" ca="1" si="29"/>
        <v>148.41053274217296</v>
      </c>
    </row>
    <row r="503" spans="9:13" x14ac:dyDescent="0.25">
      <c r="I503">
        <v>443</v>
      </c>
      <c r="J503">
        <f t="shared" ca="1" si="26"/>
        <v>6.966013007507782E-2</v>
      </c>
      <c r="K503">
        <f t="shared" ca="1" si="27"/>
        <v>0.44752892609452377</v>
      </c>
      <c r="L503">
        <f t="shared" ca="1" si="28"/>
        <v>0.11745515850149744</v>
      </c>
      <c r="M503">
        <f t="shared" ca="1" si="29"/>
        <v>171.89550923083539</v>
      </c>
    </row>
    <row r="504" spans="9:13" x14ac:dyDescent="0.25">
      <c r="I504">
        <v>444</v>
      </c>
      <c r="J504">
        <f t="shared" ca="1" si="26"/>
        <v>0.11023961070109006</v>
      </c>
      <c r="K504">
        <f t="shared" ca="1" si="27"/>
        <v>0.44122213756433282</v>
      </c>
      <c r="L504">
        <f t="shared" ca="1" si="28"/>
        <v>0.10175087801961981</v>
      </c>
      <c r="M504">
        <f t="shared" ca="1" si="29"/>
        <v>245.90293172693862</v>
      </c>
    </row>
    <row r="505" spans="9:13" x14ac:dyDescent="0.25">
      <c r="I505">
        <v>445</v>
      </c>
      <c r="J505">
        <f t="shared" ca="1" si="26"/>
        <v>8.3984207423424773E-2</v>
      </c>
      <c r="K505">
        <f t="shared" ca="1" si="27"/>
        <v>0.47037937976121535</v>
      </c>
      <c r="L505">
        <f t="shared" ca="1" si="28"/>
        <v>0.12430723610331358</v>
      </c>
      <c r="M505">
        <f t="shared" ca="1" si="29"/>
        <v>180.06102842264636</v>
      </c>
    </row>
    <row r="506" spans="9:13" x14ac:dyDescent="0.25">
      <c r="I506">
        <v>446</v>
      </c>
      <c r="J506">
        <f t="shared" ca="1" si="26"/>
        <v>8.1333454944029437E-2</v>
      </c>
      <c r="K506">
        <f t="shared" ca="1" si="27"/>
        <v>0.41972239961641361</v>
      </c>
      <c r="L506">
        <f t="shared" ca="1" si="28"/>
        <v>0.11279306945834068</v>
      </c>
      <c r="M506">
        <f t="shared" ca="1" si="29"/>
        <v>179.1631681795817</v>
      </c>
    </row>
    <row r="507" spans="9:13" x14ac:dyDescent="0.25">
      <c r="I507">
        <v>447</v>
      </c>
      <c r="J507">
        <f t="shared" ca="1" si="26"/>
        <v>4.4413188976778976E-2</v>
      </c>
      <c r="K507">
        <f t="shared" ca="1" si="27"/>
        <v>0.4242972053886504</v>
      </c>
      <c r="L507">
        <f t="shared" ca="1" si="28"/>
        <v>0.11311321816964297</v>
      </c>
      <c r="M507">
        <f t="shared" ca="1" si="29"/>
        <v>151.4512865742536</v>
      </c>
    </row>
    <row r="508" spans="9:13" x14ac:dyDescent="0.25">
      <c r="I508">
        <v>448</v>
      </c>
      <c r="J508">
        <f t="shared" ca="1" si="26"/>
        <v>8.6832004503742038E-2</v>
      </c>
      <c r="K508">
        <f t="shared" ca="1" si="27"/>
        <v>0.40893827052917969</v>
      </c>
      <c r="L508">
        <f t="shared" ca="1" si="28"/>
        <v>0.1318472765873811</v>
      </c>
      <c r="M508">
        <f t="shared" ca="1" si="29"/>
        <v>147.31911643411428</v>
      </c>
    </row>
    <row r="509" spans="9:13" x14ac:dyDescent="0.25">
      <c r="I509">
        <v>449</v>
      </c>
      <c r="J509">
        <f t="shared" ca="1" si="26"/>
        <v>0.10449193792796931</v>
      </c>
      <c r="K509">
        <f t="shared" ca="1" si="27"/>
        <v>0.49517666872353988</v>
      </c>
      <c r="L509">
        <f t="shared" ca="1" si="28"/>
        <v>0.12639766134455305</v>
      </c>
      <c r="M509">
        <f t="shared" ca="1" si="29"/>
        <v>204.16486573752837</v>
      </c>
    </row>
    <row r="510" spans="9:13" x14ac:dyDescent="0.25">
      <c r="I510">
        <v>450</v>
      </c>
      <c r="J510">
        <f t="shared" ref="J510:J573" ca="1" si="30">_xlfn.NORM.INV(RAND(),0.085,0.03)</f>
        <v>9.0410932186415965E-2</v>
      </c>
      <c r="K510">
        <f t="shared" ref="K510:K573" ca="1" si="31">_xlfn.NORM.INV(RAND(),0.435,0.03)</f>
        <v>0.44668843581948331</v>
      </c>
      <c r="L510">
        <f t="shared" ref="L510:L573" ca="1" si="32">_xlfn.NORM.INV(RAND(),0.1106,0.01)</f>
        <v>0.14055866853371166</v>
      </c>
      <c r="M510">
        <f t="shared" ref="M510:M573" ca="1" si="33">((416.161*(1+J510)^5*K510*(1-(1+L510)^-5)/L510)+(416.161*(1+J510)^5*K510*(1+0.025)/(L510-0.025)*(1+L510)^-5)-78.328+54.697)/15.02</f>
        <v>151.51324257509637</v>
      </c>
    </row>
    <row r="511" spans="9:13" x14ac:dyDescent="0.25">
      <c r="I511">
        <v>451</v>
      </c>
      <c r="J511">
        <f t="shared" ca="1" si="30"/>
        <v>0.10793171525887431</v>
      </c>
      <c r="K511">
        <f t="shared" ca="1" si="31"/>
        <v>0.37813800724329</v>
      </c>
      <c r="L511">
        <f t="shared" ca="1" si="32"/>
        <v>0.11318481649379167</v>
      </c>
      <c r="M511">
        <f t="shared" ca="1" si="33"/>
        <v>181.48835169683173</v>
      </c>
    </row>
    <row r="512" spans="9:13" x14ac:dyDescent="0.25">
      <c r="I512">
        <v>452</v>
      </c>
      <c r="J512">
        <f t="shared" ca="1" si="30"/>
        <v>9.6908502340841696E-2</v>
      </c>
      <c r="K512">
        <f t="shared" ca="1" si="31"/>
        <v>0.4326600647777103</v>
      </c>
      <c r="L512">
        <f t="shared" ca="1" si="32"/>
        <v>0.12783031119338456</v>
      </c>
      <c r="M512">
        <f t="shared" ca="1" si="33"/>
        <v>169.72477866789492</v>
      </c>
    </row>
    <row r="513" spans="9:13" x14ac:dyDescent="0.25">
      <c r="I513">
        <v>453</v>
      </c>
      <c r="J513">
        <f t="shared" ca="1" si="30"/>
        <v>4.7739005578360784E-2</v>
      </c>
      <c r="K513">
        <f t="shared" ca="1" si="31"/>
        <v>0.47897491539921189</v>
      </c>
      <c r="L513">
        <f t="shared" ca="1" si="32"/>
        <v>0.12583837715738788</v>
      </c>
      <c r="M513">
        <f t="shared" ca="1" si="33"/>
        <v>152.12931068690332</v>
      </c>
    </row>
    <row r="514" spans="9:13" x14ac:dyDescent="0.25">
      <c r="I514">
        <v>454</v>
      </c>
      <c r="J514">
        <f t="shared" ca="1" si="30"/>
        <v>5.8269583136291568E-2</v>
      </c>
      <c r="K514">
        <f t="shared" ca="1" si="31"/>
        <v>0.39657927723600206</v>
      </c>
      <c r="L514">
        <f t="shared" ca="1" si="32"/>
        <v>0.11533161316306752</v>
      </c>
      <c r="M514">
        <f t="shared" ca="1" si="33"/>
        <v>147.50433195793804</v>
      </c>
    </row>
    <row r="515" spans="9:13" x14ac:dyDescent="0.25">
      <c r="I515">
        <v>455</v>
      </c>
      <c r="J515">
        <f t="shared" ca="1" si="30"/>
        <v>9.1835922228910641E-2</v>
      </c>
      <c r="K515">
        <f t="shared" ca="1" si="31"/>
        <v>0.46464057835388567</v>
      </c>
      <c r="L515">
        <f t="shared" ca="1" si="32"/>
        <v>9.9647376407098781E-2</v>
      </c>
      <c r="M515">
        <f t="shared" ca="1" si="33"/>
        <v>244.80116046132741</v>
      </c>
    </row>
    <row r="516" spans="9:13" x14ac:dyDescent="0.25">
      <c r="I516">
        <v>456</v>
      </c>
      <c r="J516">
        <f t="shared" ca="1" si="30"/>
        <v>7.981379884209E-2</v>
      </c>
      <c r="K516">
        <f t="shared" ca="1" si="31"/>
        <v>0.38882098070845189</v>
      </c>
      <c r="L516">
        <f t="shared" ca="1" si="32"/>
        <v>9.8533830912088893E-2</v>
      </c>
      <c r="M516">
        <f t="shared" ca="1" si="33"/>
        <v>196.40731144420346</v>
      </c>
    </row>
    <row r="517" spans="9:13" x14ac:dyDescent="0.25">
      <c r="I517">
        <v>457</v>
      </c>
      <c r="J517">
        <f t="shared" ca="1" si="30"/>
        <v>5.0305452110026655E-2</v>
      </c>
      <c r="K517">
        <f t="shared" ca="1" si="31"/>
        <v>0.3822154628820309</v>
      </c>
      <c r="L517">
        <f t="shared" ca="1" si="32"/>
        <v>0.10466816601140423</v>
      </c>
      <c r="M517">
        <f t="shared" ca="1" si="33"/>
        <v>154.99748760791476</v>
      </c>
    </row>
    <row r="518" spans="9:13" x14ac:dyDescent="0.25">
      <c r="I518">
        <v>458</v>
      </c>
      <c r="J518">
        <f t="shared" ca="1" si="30"/>
        <v>0.11218975638054307</v>
      </c>
      <c r="K518">
        <f t="shared" ca="1" si="31"/>
        <v>0.41538881220387996</v>
      </c>
      <c r="L518">
        <f t="shared" ca="1" si="32"/>
        <v>0.10000505520743112</v>
      </c>
      <c r="M518">
        <f t="shared" ca="1" si="33"/>
        <v>238.85959129906621</v>
      </c>
    </row>
    <row r="519" spans="9:13" x14ac:dyDescent="0.25">
      <c r="I519">
        <v>459</v>
      </c>
      <c r="J519">
        <f t="shared" ca="1" si="30"/>
        <v>4.7597212126507756E-2</v>
      </c>
      <c r="K519">
        <f t="shared" ca="1" si="31"/>
        <v>0.41642661991134156</v>
      </c>
      <c r="L519">
        <f t="shared" ca="1" si="32"/>
        <v>0.10278057444959363</v>
      </c>
      <c r="M519">
        <f t="shared" ca="1" si="33"/>
        <v>170.85064777987358</v>
      </c>
    </row>
    <row r="520" spans="9:13" x14ac:dyDescent="0.25">
      <c r="I520">
        <v>460</v>
      </c>
      <c r="J520">
        <f t="shared" ca="1" si="30"/>
        <v>0.10788621317965599</v>
      </c>
      <c r="K520">
        <f t="shared" ca="1" si="31"/>
        <v>0.47860569961309368</v>
      </c>
      <c r="L520">
        <f t="shared" ca="1" si="32"/>
        <v>0.10488444995910176</v>
      </c>
      <c r="M520">
        <f t="shared" ca="1" si="33"/>
        <v>253.76608290972231</v>
      </c>
    </row>
    <row r="521" spans="9:13" x14ac:dyDescent="0.25">
      <c r="I521">
        <v>461</v>
      </c>
      <c r="J521">
        <f t="shared" ca="1" si="30"/>
        <v>0.11347610673524858</v>
      </c>
      <c r="K521">
        <f t="shared" ca="1" si="31"/>
        <v>0.38484178446181483</v>
      </c>
      <c r="L521">
        <f t="shared" ca="1" si="32"/>
        <v>9.7948469205480018E-2</v>
      </c>
      <c r="M521">
        <f t="shared" ca="1" si="33"/>
        <v>228.69739413940385</v>
      </c>
    </row>
    <row r="522" spans="9:13" x14ac:dyDescent="0.25">
      <c r="I522">
        <v>462</v>
      </c>
      <c r="J522">
        <f t="shared" ca="1" si="30"/>
        <v>9.3503927662615061E-2</v>
      </c>
      <c r="K522">
        <f t="shared" ca="1" si="31"/>
        <v>0.45226398536465034</v>
      </c>
      <c r="L522">
        <f t="shared" ca="1" si="32"/>
        <v>0.10873637713331434</v>
      </c>
      <c r="M522">
        <f t="shared" ca="1" si="33"/>
        <v>214.20603742587105</v>
      </c>
    </row>
    <row r="523" spans="9:13" x14ac:dyDescent="0.25">
      <c r="I523">
        <v>463</v>
      </c>
      <c r="J523">
        <f t="shared" ca="1" si="30"/>
        <v>0.11649118695449934</v>
      </c>
      <c r="K523">
        <f t="shared" ca="1" si="31"/>
        <v>0.4345749261704962</v>
      </c>
      <c r="L523">
        <f t="shared" ca="1" si="32"/>
        <v>9.744129515290377E-2</v>
      </c>
      <c r="M523">
        <f t="shared" ca="1" si="33"/>
        <v>263.8149468012241</v>
      </c>
    </row>
    <row r="524" spans="9:13" x14ac:dyDescent="0.25">
      <c r="I524">
        <v>464</v>
      </c>
      <c r="J524">
        <f t="shared" ca="1" si="30"/>
        <v>0.1166736626095784</v>
      </c>
      <c r="K524">
        <f t="shared" ca="1" si="31"/>
        <v>0.47617712511427018</v>
      </c>
      <c r="L524">
        <f t="shared" ca="1" si="32"/>
        <v>0.12537307319732419</v>
      </c>
      <c r="M524">
        <f t="shared" ca="1" si="33"/>
        <v>209.52132087503813</v>
      </c>
    </row>
    <row r="525" spans="9:13" x14ac:dyDescent="0.25">
      <c r="I525">
        <v>465</v>
      </c>
      <c r="J525">
        <f t="shared" ca="1" si="30"/>
        <v>0.11967202827010681</v>
      </c>
      <c r="K525">
        <f t="shared" ca="1" si="31"/>
        <v>0.43139158455680204</v>
      </c>
      <c r="L525">
        <f t="shared" ca="1" si="32"/>
        <v>0.10955183157938157</v>
      </c>
      <c r="M525">
        <f t="shared" ca="1" si="33"/>
        <v>227.88134438588835</v>
      </c>
    </row>
    <row r="526" spans="9:13" x14ac:dyDescent="0.25">
      <c r="I526">
        <v>466</v>
      </c>
      <c r="J526">
        <f t="shared" ca="1" si="30"/>
        <v>7.8169041505188969E-2</v>
      </c>
      <c r="K526">
        <f t="shared" ca="1" si="31"/>
        <v>0.44899228264287666</v>
      </c>
      <c r="L526">
        <f t="shared" ca="1" si="32"/>
        <v>0.12204183147887995</v>
      </c>
      <c r="M526">
        <f t="shared" ca="1" si="33"/>
        <v>171.07473307650224</v>
      </c>
    </row>
    <row r="527" spans="9:13" x14ac:dyDescent="0.25">
      <c r="I527">
        <v>467</v>
      </c>
      <c r="J527">
        <f t="shared" ca="1" si="30"/>
        <v>5.0479780853085063E-2</v>
      </c>
      <c r="K527">
        <f t="shared" ca="1" si="31"/>
        <v>0.42312844762343288</v>
      </c>
      <c r="L527">
        <f t="shared" ca="1" si="32"/>
        <v>0.10205330091306748</v>
      </c>
      <c r="M527">
        <f t="shared" ca="1" si="33"/>
        <v>177.70169694131712</v>
      </c>
    </row>
    <row r="528" spans="9:13" x14ac:dyDescent="0.25">
      <c r="I528">
        <v>468</v>
      </c>
      <c r="J528">
        <f t="shared" ca="1" si="30"/>
        <v>7.0969106786859207E-2</v>
      </c>
      <c r="K528">
        <f t="shared" ca="1" si="31"/>
        <v>0.43245405833767481</v>
      </c>
      <c r="L528">
        <f t="shared" ca="1" si="32"/>
        <v>0.1010178758642496</v>
      </c>
      <c r="M528">
        <f t="shared" ca="1" si="33"/>
        <v>202.94205580002838</v>
      </c>
    </row>
    <row r="529" spans="9:13" x14ac:dyDescent="0.25">
      <c r="I529">
        <v>469</v>
      </c>
      <c r="J529">
        <f t="shared" ca="1" si="30"/>
        <v>8.7597446250890568E-2</v>
      </c>
      <c r="K529">
        <f t="shared" ca="1" si="31"/>
        <v>0.4586978980949234</v>
      </c>
      <c r="L529">
        <f t="shared" ca="1" si="32"/>
        <v>0.10850225670779436</v>
      </c>
      <c r="M529">
        <f t="shared" ca="1" si="33"/>
        <v>212.01692186211653</v>
      </c>
    </row>
    <row r="530" spans="9:13" x14ac:dyDescent="0.25">
      <c r="I530">
        <v>470</v>
      </c>
      <c r="J530">
        <f t="shared" ca="1" si="30"/>
        <v>2.158250912516485E-2</v>
      </c>
      <c r="K530">
        <f t="shared" ca="1" si="31"/>
        <v>0.4334942859327417</v>
      </c>
      <c r="L530">
        <f t="shared" ca="1" si="32"/>
        <v>0.11607679084201218</v>
      </c>
      <c r="M530">
        <f t="shared" ca="1" si="33"/>
        <v>133.92706342552904</v>
      </c>
    </row>
    <row r="531" spans="9:13" x14ac:dyDescent="0.25">
      <c r="I531">
        <v>471</v>
      </c>
      <c r="J531">
        <f t="shared" ca="1" si="30"/>
        <v>9.2449242674111864E-2</v>
      </c>
      <c r="K531">
        <f t="shared" ca="1" si="31"/>
        <v>0.49051077451672292</v>
      </c>
      <c r="L531">
        <f t="shared" ca="1" si="32"/>
        <v>0.11931022087487143</v>
      </c>
      <c r="M531">
        <f t="shared" ca="1" si="33"/>
        <v>205.60238152942594</v>
      </c>
    </row>
    <row r="532" spans="9:13" x14ac:dyDescent="0.25">
      <c r="I532">
        <v>472</v>
      </c>
      <c r="J532">
        <f t="shared" ca="1" si="30"/>
        <v>5.9039898217694273E-2</v>
      </c>
      <c r="K532">
        <f t="shared" ca="1" si="31"/>
        <v>0.40607397795847716</v>
      </c>
      <c r="L532">
        <f t="shared" ca="1" si="32"/>
        <v>0.13664016404622828</v>
      </c>
      <c r="M532">
        <f t="shared" ca="1" si="33"/>
        <v>122.83652860923559</v>
      </c>
    </row>
    <row r="533" spans="9:13" x14ac:dyDescent="0.25">
      <c r="I533">
        <v>473</v>
      </c>
      <c r="J533">
        <f t="shared" ca="1" si="30"/>
        <v>7.2946296803846802E-2</v>
      </c>
      <c r="K533">
        <f t="shared" ca="1" si="31"/>
        <v>0.41825014034222829</v>
      </c>
      <c r="L533">
        <f t="shared" ca="1" si="32"/>
        <v>0.10036806585220458</v>
      </c>
      <c r="M533">
        <f t="shared" ca="1" si="33"/>
        <v>199.75423069868742</v>
      </c>
    </row>
    <row r="534" spans="9:13" x14ac:dyDescent="0.25">
      <c r="I534">
        <v>474</v>
      </c>
      <c r="J534">
        <f t="shared" ca="1" si="30"/>
        <v>5.4105408299765428E-2</v>
      </c>
      <c r="K534">
        <f t="shared" ca="1" si="31"/>
        <v>0.42379502654130691</v>
      </c>
      <c r="L534">
        <f t="shared" ca="1" si="32"/>
        <v>9.8541676083771498E-2</v>
      </c>
      <c r="M534">
        <f t="shared" ca="1" si="33"/>
        <v>189.70203670337006</v>
      </c>
    </row>
    <row r="535" spans="9:13" x14ac:dyDescent="0.25">
      <c r="I535">
        <v>475</v>
      </c>
      <c r="J535">
        <f t="shared" ca="1" si="30"/>
        <v>2.9889552518210176E-2</v>
      </c>
      <c r="K535">
        <f t="shared" ca="1" si="31"/>
        <v>0.4705268570859259</v>
      </c>
      <c r="L535">
        <f t="shared" ca="1" si="32"/>
        <v>0.11333260737423868</v>
      </c>
      <c r="M535">
        <f t="shared" ca="1" si="33"/>
        <v>156.26191389992846</v>
      </c>
    </row>
    <row r="536" spans="9:13" x14ac:dyDescent="0.25">
      <c r="I536">
        <v>476</v>
      </c>
      <c r="J536">
        <f t="shared" ca="1" si="30"/>
        <v>8.4083460965267906E-2</v>
      </c>
      <c r="K536">
        <f t="shared" ca="1" si="31"/>
        <v>0.40362878601877772</v>
      </c>
      <c r="L536">
        <f t="shared" ca="1" si="32"/>
        <v>0.12432783432677756</v>
      </c>
      <c r="M536">
        <f t="shared" ca="1" si="33"/>
        <v>154.32524411486833</v>
      </c>
    </row>
    <row r="537" spans="9:13" x14ac:dyDescent="0.25">
      <c r="I537">
        <v>477</v>
      </c>
      <c r="J537">
        <f t="shared" ca="1" si="30"/>
        <v>0.10718940276747022</v>
      </c>
      <c r="K537">
        <f t="shared" ca="1" si="31"/>
        <v>0.42955956086684788</v>
      </c>
      <c r="L537">
        <f t="shared" ca="1" si="32"/>
        <v>0.11216586821605369</v>
      </c>
      <c r="M537">
        <f t="shared" ca="1" si="33"/>
        <v>208.07133595206369</v>
      </c>
    </row>
    <row r="538" spans="9:13" x14ac:dyDescent="0.25">
      <c r="I538">
        <v>478</v>
      </c>
      <c r="J538">
        <f t="shared" ca="1" si="30"/>
        <v>0.11599445137546212</v>
      </c>
      <c r="K538">
        <f t="shared" ca="1" si="31"/>
        <v>0.41946011850493925</v>
      </c>
      <c r="L538">
        <f t="shared" ca="1" si="32"/>
        <v>0.13398069166468007</v>
      </c>
      <c r="M538">
        <f t="shared" ca="1" si="33"/>
        <v>169.41662617829439</v>
      </c>
    </row>
    <row r="539" spans="9:13" x14ac:dyDescent="0.25">
      <c r="I539">
        <v>479</v>
      </c>
      <c r="J539">
        <f t="shared" ca="1" si="30"/>
        <v>0.12856232714106475</v>
      </c>
      <c r="K539">
        <f t="shared" ca="1" si="31"/>
        <v>0.39604229667014457</v>
      </c>
      <c r="L539">
        <f t="shared" ca="1" si="32"/>
        <v>0.12383653925695493</v>
      </c>
      <c r="M539">
        <f t="shared" ca="1" si="33"/>
        <v>186.37253350673441</v>
      </c>
    </row>
    <row r="540" spans="9:13" x14ac:dyDescent="0.25">
      <c r="I540">
        <v>480</v>
      </c>
      <c r="J540">
        <f t="shared" ca="1" si="30"/>
        <v>7.2538216947799897E-2</v>
      </c>
      <c r="K540">
        <f t="shared" ca="1" si="31"/>
        <v>0.51434459005130251</v>
      </c>
      <c r="L540">
        <f t="shared" ca="1" si="32"/>
        <v>0.11994342821298278</v>
      </c>
      <c r="M540">
        <f t="shared" ca="1" si="33"/>
        <v>195.28034094222011</v>
      </c>
    </row>
    <row r="541" spans="9:13" x14ac:dyDescent="0.25">
      <c r="I541">
        <v>481</v>
      </c>
      <c r="J541">
        <f t="shared" ca="1" si="30"/>
        <v>6.2297537099836445E-2</v>
      </c>
      <c r="K541">
        <f t="shared" ca="1" si="31"/>
        <v>0.40095698859059142</v>
      </c>
      <c r="L541">
        <f t="shared" ca="1" si="32"/>
        <v>0.11493037311350246</v>
      </c>
      <c r="M541">
        <f t="shared" ca="1" si="33"/>
        <v>152.71472939244629</v>
      </c>
    </row>
    <row r="542" spans="9:13" x14ac:dyDescent="0.25">
      <c r="I542">
        <v>482</v>
      </c>
      <c r="J542">
        <f t="shared" ca="1" si="30"/>
        <v>0.11219933053786726</v>
      </c>
      <c r="K542">
        <f t="shared" ca="1" si="31"/>
        <v>0.36050483478993284</v>
      </c>
      <c r="L542">
        <f t="shared" ca="1" si="32"/>
        <v>0.1203245790889395</v>
      </c>
      <c r="M542">
        <f t="shared" ca="1" si="33"/>
        <v>163.21951846113672</v>
      </c>
    </row>
    <row r="543" spans="9:13" x14ac:dyDescent="0.25">
      <c r="I543">
        <v>483</v>
      </c>
      <c r="J543">
        <f t="shared" ca="1" si="30"/>
        <v>5.118920047794618E-2</v>
      </c>
      <c r="K543">
        <f t="shared" ca="1" si="31"/>
        <v>0.47936887641327164</v>
      </c>
      <c r="L543">
        <f t="shared" ca="1" si="32"/>
        <v>0.11836898169661196</v>
      </c>
      <c r="M543">
        <f t="shared" ca="1" si="33"/>
        <v>167.09880473282789</v>
      </c>
    </row>
    <row r="544" spans="9:13" x14ac:dyDescent="0.25">
      <c r="I544">
        <v>484</v>
      </c>
      <c r="J544">
        <f t="shared" ca="1" si="30"/>
        <v>4.5262904158806239E-2</v>
      </c>
      <c r="K544">
        <f t="shared" ca="1" si="31"/>
        <v>0.37567968791611761</v>
      </c>
      <c r="L544">
        <f t="shared" ca="1" si="32"/>
        <v>0.10715082343591902</v>
      </c>
      <c r="M544">
        <f t="shared" ca="1" si="33"/>
        <v>144.18698163841697</v>
      </c>
    </row>
    <row r="545" spans="9:13" x14ac:dyDescent="0.25">
      <c r="I545">
        <v>485</v>
      </c>
      <c r="J545">
        <f t="shared" ca="1" si="30"/>
        <v>4.6509499595312129E-2</v>
      </c>
      <c r="K545">
        <f t="shared" ca="1" si="31"/>
        <v>0.40524739750785482</v>
      </c>
      <c r="L545">
        <f t="shared" ca="1" si="32"/>
        <v>0.12115124587210055</v>
      </c>
      <c r="M545">
        <f t="shared" ca="1" si="33"/>
        <v>133.90261634494689</v>
      </c>
    </row>
    <row r="546" spans="9:13" x14ac:dyDescent="0.25">
      <c r="I546">
        <v>486</v>
      </c>
      <c r="J546">
        <f t="shared" ca="1" si="30"/>
        <v>7.8075428581895201E-2</v>
      </c>
      <c r="K546">
        <f t="shared" ca="1" si="31"/>
        <v>0.41870252701430904</v>
      </c>
      <c r="L546">
        <f t="shared" ca="1" si="32"/>
        <v>0.12318816411724171</v>
      </c>
      <c r="M546">
        <f t="shared" ca="1" si="33"/>
        <v>157.5101432798798</v>
      </c>
    </row>
    <row r="547" spans="9:13" x14ac:dyDescent="0.25">
      <c r="I547">
        <v>487</v>
      </c>
      <c r="J547">
        <f t="shared" ca="1" si="30"/>
        <v>9.0707872139489998E-2</v>
      </c>
      <c r="K547">
        <f t="shared" ca="1" si="31"/>
        <v>0.37888967215445968</v>
      </c>
      <c r="L547">
        <f t="shared" ca="1" si="32"/>
        <v>0.10153902949205587</v>
      </c>
      <c r="M547">
        <f t="shared" ca="1" si="33"/>
        <v>193.4250696222899</v>
      </c>
    </row>
    <row r="548" spans="9:13" x14ac:dyDescent="0.25">
      <c r="I548">
        <v>488</v>
      </c>
      <c r="J548">
        <f t="shared" ca="1" si="30"/>
        <v>0.10002384414543697</v>
      </c>
      <c r="K548">
        <f t="shared" ca="1" si="31"/>
        <v>0.38641963503541665</v>
      </c>
      <c r="L548">
        <f t="shared" ca="1" si="32"/>
        <v>9.9755502754369479E-2</v>
      </c>
      <c r="M548">
        <f t="shared" ca="1" si="33"/>
        <v>210.82032527066568</v>
      </c>
    </row>
    <row r="549" spans="9:13" x14ac:dyDescent="0.25">
      <c r="I549">
        <v>489</v>
      </c>
      <c r="J549">
        <f t="shared" ca="1" si="30"/>
        <v>0.10155327368040042</v>
      </c>
      <c r="K549">
        <f t="shared" ca="1" si="31"/>
        <v>0.45791407303881448</v>
      </c>
      <c r="L549">
        <f t="shared" ca="1" si="32"/>
        <v>0.1212066027976898</v>
      </c>
      <c r="M549">
        <f t="shared" ca="1" si="33"/>
        <v>196.11988033943965</v>
      </c>
    </row>
    <row r="550" spans="9:13" x14ac:dyDescent="0.25">
      <c r="I550">
        <v>490</v>
      </c>
      <c r="J550">
        <f t="shared" ca="1" si="30"/>
        <v>9.2110721649384386E-2</v>
      </c>
      <c r="K550">
        <f t="shared" ca="1" si="31"/>
        <v>0.42541261994484597</v>
      </c>
      <c r="L550">
        <f t="shared" ca="1" si="32"/>
        <v>0.12760022764688675</v>
      </c>
      <c r="M550">
        <f t="shared" ca="1" si="33"/>
        <v>163.56712518373311</v>
      </c>
    </row>
    <row r="551" spans="9:13" x14ac:dyDescent="0.25">
      <c r="I551">
        <v>491</v>
      </c>
      <c r="J551">
        <f t="shared" ca="1" si="30"/>
        <v>6.4164768332602359E-2</v>
      </c>
      <c r="K551">
        <f t="shared" ca="1" si="31"/>
        <v>0.43025305522776197</v>
      </c>
      <c r="L551">
        <f t="shared" ca="1" si="32"/>
        <v>0.12103255984611656</v>
      </c>
      <c r="M551">
        <f t="shared" ca="1" si="33"/>
        <v>155.0014977252809</v>
      </c>
    </row>
    <row r="552" spans="9:13" x14ac:dyDescent="0.25">
      <c r="I552">
        <v>492</v>
      </c>
      <c r="J552">
        <f t="shared" ca="1" si="30"/>
        <v>9.7700341570929605E-2</v>
      </c>
      <c r="K552">
        <f t="shared" ca="1" si="31"/>
        <v>0.41687389374351258</v>
      </c>
      <c r="L552">
        <f t="shared" ca="1" si="32"/>
        <v>0.12038871450038861</v>
      </c>
      <c r="M552">
        <f t="shared" ca="1" si="33"/>
        <v>176.76739382399495</v>
      </c>
    </row>
    <row r="553" spans="9:13" x14ac:dyDescent="0.25">
      <c r="I553">
        <v>493</v>
      </c>
      <c r="J553">
        <f t="shared" ca="1" si="30"/>
        <v>7.3880798684731602E-2</v>
      </c>
      <c r="K553">
        <f t="shared" ca="1" si="31"/>
        <v>0.44781189394371868</v>
      </c>
      <c r="L553">
        <f t="shared" ca="1" si="32"/>
        <v>0.13235796803612998</v>
      </c>
      <c r="M553">
        <f t="shared" ca="1" si="33"/>
        <v>151.26938375809868</v>
      </c>
    </row>
    <row r="554" spans="9:13" x14ac:dyDescent="0.25">
      <c r="I554">
        <v>494</v>
      </c>
      <c r="J554">
        <f t="shared" ca="1" si="30"/>
        <v>9.0500292392905399E-2</v>
      </c>
      <c r="K554">
        <f t="shared" ca="1" si="31"/>
        <v>0.41752792793549531</v>
      </c>
      <c r="L554">
        <f t="shared" ca="1" si="32"/>
        <v>0.12536535292806528</v>
      </c>
      <c r="M554">
        <f t="shared" ca="1" si="33"/>
        <v>162.83531438912894</v>
      </c>
    </row>
    <row r="555" spans="9:13" x14ac:dyDescent="0.25">
      <c r="I555">
        <v>495</v>
      </c>
      <c r="J555">
        <f t="shared" ca="1" si="30"/>
        <v>0.10333282233378141</v>
      </c>
      <c r="K555">
        <f t="shared" ca="1" si="31"/>
        <v>0.47112805900056975</v>
      </c>
      <c r="L555">
        <f t="shared" ca="1" si="32"/>
        <v>0.12187542726950713</v>
      </c>
      <c r="M555">
        <f t="shared" ca="1" si="33"/>
        <v>202.08075763195396</v>
      </c>
    </row>
    <row r="556" spans="9:13" x14ac:dyDescent="0.25">
      <c r="I556">
        <v>496</v>
      </c>
      <c r="J556">
        <f t="shared" ca="1" si="30"/>
        <v>5.6166657336592853E-2</v>
      </c>
      <c r="K556">
        <f t="shared" ca="1" si="31"/>
        <v>0.44547393279863301</v>
      </c>
      <c r="L556">
        <f t="shared" ca="1" si="32"/>
        <v>0.10516806724191735</v>
      </c>
      <c r="M556">
        <f t="shared" ca="1" si="33"/>
        <v>184.90661677486312</v>
      </c>
    </row>
    <row r="557" spans="9:13" x14ac:dyDescent="0.25">
      <c r="I557">
        <v>497</v>
      </c>
      <c r="J557">
        <f t="shared" ca="1" si="30"/>
        <v>6.8119852035458464E-2</v>
      </c>
      <c r="K557">
        <f t="shared" ca="1" si="31"/>
        <v>0.41978930418758975</v>
      </c>
      <c r="L557">
        <f t="shared" ca="1" si="32"/>
        <v>9.9171984282598297E-2</v>
      </c>
      <c r="M557">
        <f t="shared" ca="1" si="33"/>
        <v>199.13210118478793</v>
      </c>
    </row>
    <row r="558" spans="9:13" x14ac:dyDescent="0.25">
      <c r="I558">
        <v>498</v>
      </c>
      <c r="J558">
        <f t="shared" ca="1" si="30"/>
        <v>0.12754273671586921</v>
      </c>
      <c r="K558">
        <f t="shared" ca="1" si="31"/>
        <v>0.43668731462392879</v>
      </c>
      <c r="L558">
        <f t="shared" ca="1" si="32"/>
        <v>0.1041552937685532</v>
      </c>
      <c r="M558">
        <f t="shared" ca="1" si="33"/>
        <v>255.12562723574513</v>
      </c>
    </row>
    <row r="559" spans="9:13" x14ac:dyDescent="0.25">
      <c r="I559">
        <v>499</v>
      </c>
      <c r="J559">
        <f t="shared" ca="1" si="30"/>
        <v>8.1576489254538143E-4</v>
      </c>
      <c r="K559">
        <f t="shared" ca="1" si="31"/>
        <v>0.41850015972180299</v>
      </c>
      <c r="L559">
        <f t="shared" ca="1" si="32"/>
        <v>0.10788866414913525</v>
      </c>
      <c r="M559">
        <f t="shared" ca="1" si="33"/>
        <v>127.94613698084451</v>
      </c>
    </row>
    <row r="560" spans="9:13" x14ac:dyDescent="0.25">
      <c r="I560">
        <v>500</v>
      </c>
      <c r="J560">
        <f t="shared" ca="1" si="30"/>
        <v>6.4397610705956787E-2</v>
      </c>
      <c r="K560">
        <f t="shared" ca="1" si="31"/>
        <v>0.42788136225589113</v>
      </c>
      <c r="L560">
        <f t="shared" ca="1" si="32"/>
        <v>9.8188758936571502E-2</v>
      </c>
      <c r="M560">
        <f t="shared" ca="1" si="33"/>
        <v>202.12441006287801</v>
      </c>
    </row>
    <row r="561" spans="9:13" x14ac:dyDescent="0.25">
      <c r="I561">
        <v>501</v>
      </c>
      <c r="J561">
        <f t="shared" ca="1" si="30"/>
        <v>0.12655694727990888</v>
      </c>
      <c r="K561">
        <f t="shared" ca="1" si="31"/>
        <v>0.46309271750087333</v>
      </c>
      <c r="L561">
        <f t="shared" ca="1" si="32"/>
        <v>0.10595439774616211</v>
      </c>
      <c r="M561">
        <f t="shared" ca="1" si="33"/>
        <v>263.5235080391675</v>
      </c>
    </row>
    <row r="562" spans="9:13" x14ac:dyDescent="0.25">
      <c r="I562">
        <v>502</v>
      </c>
      <c r="J562">
        <f t="shared" ca="1" si="30"/>
        <v>7.7469767640234707E-2</v>
      </c>
      <c r="K562">
        <f t="shared" ca="1" si="31"/>
        <v>0.42965721799406215</v>
      </c>
      <c r="L562">
        <f t="shared" ca="1" si="32"/>
        <v>0.10739125165103014</v>
      </c>
      <c r="M562">
        <f t="shared" ca="1" si="33"/>
        <v>191.8866767088883</v>
      </c>
    </row>
    <row r="563" spans="9:13" x14ac:dyDescent="0.25">
      <c r="I563">
        <v>503</v>
      </c>
      <c r="J563">
        <f t="shared" ca="1" si="30"/>
        <v>0.12526770237045909</v>
      </c>
      <c r="K563">
        <f t="shared" ca="1" si="31"/>
        <v>0.41448827319954396</v>
      </c>
      <c r="L563">
        <f t="shared" ca="1" si="32"/>
        <v>0.11552872176090123</v>
      </c>
      <c r="M563">
        <f t="shared" ca="1" si="33"/>
        <v>209.75655781494876</v>
      </c>
    </row>
    <row r="564" spans="9:13" x14ac:dyDescent="0.25">
      <c r="I564">
        <v>504</v>
      </c>
      <c r="J564">
        <f t="shared" ca="1" si="30"/>
        <v>7.7528666182535386E-2</v>
      </c>
      <c r="K564">
        <f t="shared" ca="1" si="31"/>
        <v>0.44422532337570891</v>
      </c>
      <c r="L564">
        <f t="shared" ca="1" si="32"/>
        <v>0.12070659742459663</v>
      </c>
      <c r="M564">
        <f t="shared" ca="1" si="33"/>
        <v>171.07137881913025</v>
      </c>
    </row>
    <row r="565" spans="9:13" x14ac:dyDescent="0.25">
      <c r="I565">
        <v>505</v>
      </c>
      <c r="J565">
        <f t="shared" ca="1" si="30"/>
        <v>8.1492968822364648E-2</v>
      </c>
      <c r="K565">
        <f t="shared" ca="1" si="31"/>
        <v>0.42658533645504398</v>
      </c>
      <c r="L565">
        <f t="shared" ca="1" si="32"/>
        <v>0.12372191576400191</v>
      </c>
      <c r="M565">
        <f t="shared" ca="1" si="33"/>
        <v>162.21514849710309</v>
      </c>
    </row>
    <row r="566" spans="9:13" x14ac:dyDescent="0.25">
      <c r="I566">
        <v>506</v>
      </c>
      <c r="J566">
        <f t="shared" ca="1" si="30"/>
        <v>6.1570618477410063E-2</v>
      </c>
      <c r="K566">
        <f t="shared" ca="1" si="31"/>
        <v>0.40253204252470376</v>
      </c>
      <c r="L566">
        <f t="shared" ca="1" si="32"/>
        <v>0.12353704836179989</v>
      </c>
      <c r="M566">
        <f t="shared" ca="1" si="33"/>
        <v>139.51924351038096</v>
      </c>
    </row>
    <row r="567" spans="9:13" x14ac:dyDescent="0.25">
      <c r="I567">
        <v>507</v>
      </c>
      <c r="J567">
        <f t="shared" ca="1" si="30"/>
        <v>7.0227280862674532E-2</v>
      </c>
      <c r="K567">
        <f t="shared" ca="1" si="31"/>
        <v>0.41228225614944197</v>
      </c>
      <c r="L567">
        <f t="shared" ca="1" si="32"/>
        <v>0.10291129899879395</v>
      </c>
      <c r="M567">
        <f t="shared" ca="1" si="33"/>
        <v>188.07254324307854</v>
      </c>
    </row>
    <row r="568" spans="9:13" x14ac:dyDescent="0.25">
      <c r="I568">
        <v>508</v>
      </c>
      <c r="J568">
        <f t="shared" ca="1" si="30"/>
        <v>0.11644065255635355</v>
      </c>
      <c r="K568">
        <f t="shared" ca="1" si="31"/>
        <v>0.42570386688199535</v>
      </c>
      <c r="L568">
        <f t="shared" ca="1" si="32"/>
        <v>0.1224636117799317</v>
      </c>
      <c r="M568">
        <f t="shared" ca="1" si="33"/>
        <v>192.48052321711003</v>
      </c>
    </row>
    <row r="569" spans="9:13" x14ac:dyDescent="0.25">
      <c r="I569">
        <v>509</v>
      </c>
      <c r="J569">
        <f t="shared" ca="1" si="30"/>
        <v>7.5589917870317574E-2</v>
      </c>
      <c r="K569">
        <f t="shared" ca="1" si="31"/>
        <v>0.46540752042921052</v>
      </c>
      <c r="L569">
        <f t="shared" ca="1" si="32"/>
        <v>0.10864117896677974</v>
      </c>
      <c r="M569">
        <f t="shared" ca="1" si="33"/>
        <v>203.10400327473883</v>
      </c>
    </row>
    <row r="570" spans="9:13" x14ac:dyDescent="0.25">
      <c r="I570">
        <v>510</v>
      </c>
      <c r="J570">
        <f t="shared" ca="1" si="30"/>
        <v>0.10043656265218646</v>
      </c>
      <c r="K570">
        <f t="shared" ca="1" si="31"/>
        <v>0.41957628666682056</v>
      </c>
      <c r="L570">
        <f t="shared" ca="1" si="32"/>
        <v>0.11500247804804158</v>
      </c>
      <c r="M570">
        <f t="shared" ca="1" si="33"/>
        <v>190.86743835568853</v>
      </c>
    </row>
    <row r="571" spans="9:13" x14ac:dyDescent="0.25">
      <c r="I571">
        <v>511</v>
      </c>
      <c r="J571">
        <f t="shared" ca="1" si="30"/>
        <v>0.11670893972206185</v>
      </c>
      <c r="K571">
        <f t="shared" ca="1" si="31"/>
        <v>0.43556587879003494</v>
      </c>
      <c r="L571">
        <f t="shared" ca="1" si="32"/>
        <v>0.10098302459087971</v>
      </c>
      <c r="M571">
        <f t="shared" ca="1" si="33"/>
        <v>252.43703538048356</v>
      </c>
    </row>
    <row r="572" spans="9:13" x14ac:dyDescent="0.25">
      <c r="I572">
        <v>512</v>
      </c>
      <c r="J572">
        <f t="shared" ca="1" si="30"/>
        <v>3.7272153883968241E-2</v>
      </c>
      <c r="K572">
        <f t="shared" ca="1" si="31"/>
        <v>0.4048369280102958</v>
      </c>
      <c r="L572">
        <f t="shared" ca="1" si="32"/>
        <v>0.12020635506009321</v>
      </c>
      <c r="M572">
        <f t="shared" ca="1" si="33"/>
        <v>129.16048551551907</v>
      </c>
    </row>
    <row r="573" spans="9:13" x14ac:dyDescent="0.25">
      <c r="I573">
        <v>513</v>
      </c>
      <c r="J573">
        <f t="shared" ca="1" si="30"/>
        <v>0.10559653768799268</v>
      </c>
      <c r="K573">
        <f t="shared" ca="1" si="31"/>
        <v>0.43692907667888264</v>
      </c>
      <c r="L573">
        <f t="shared" ca="1" si="32"/>
        <v>0.11642208716414278</v>
      </c>
      <c r="M573">
        <f t="shared" ca="1" si="33"/>
        <v>200.43398764256503</v>
      </c>
    </row>
    <row r="574" spans="9:13" x14ac:dyDescent="0.25">
      <c r="I574">
        <v>514</v>
      </c>
      <c r="J574">
        <f t="shared" ref="J574:J637" ca="1" si="34">_xlfn.NORM.INV(RAND(),0.085,0.03)</f>
        <v>7.1923614814755732E-2</v>
      </c>
      <c r="K574">
        <f t="shared" ref="K574:K637" ca="1" si="35">_xlfn.NORM.INV(RAND(),0.435,0.03)</f>
        <v>0.44238253184577059</v>
      </c>
      <c r="L574">
        <f t="shared" ref="L574:L637" ca="1" si="36">_xlfn.NORM.INV(RAND(),0.1106,0.01)</f>
        <v>0.10361761364464973</v>
      </c>
      <c r="M574">
        <f t="shared" ref="M574:M637" ca="1" si="37">((416.161*(1+J574)^5*K574*(1-(1+L574)^-5)/L574)+(416.161*(1+J574)^5*K574*(1+0.025)/(L574-0.025)*(1+L574)^-5)-78.328+54.697)/15.02</f>
        <v>201.71987973603117</v>
      </c>
    </row>
    <row r="575" spans="9:13" x14ac:dyDescent="0.25">
      <c r="I575">
        <v>515</v>
      </c>
      <c r="J575">
        <f t="shared" ca="1" si="34"/>
        <v>7.904629954675875E-2</v>
      </c>
      <c r="K575">
        <f t="shared" ca="1" si="35"/>
        <v>0.43240093381687361</v>
      </c>
      <c r="L575">
        <f t="shared" ca="1" si="36"/>
        <v>0.10904942678855202</v>
      </c>
      <c r="M575">
        <f t="shared" ca="1" si="37"/>
        <v>190.73899607010787</v>
      </c>
    </row>
    <row r="576" spans="9:13" x14ac:dyDescent="0.25">
      <c r="I576">
        <v>516</v>
      </c>
      <c r="J576">
        <f t="shared" ca="1" si="34"/>
        <v>8.7098289202725859E-2</v>
      </c>
      <c r="K576">
        <f t="shared" ca="1" si="35"/>
        <v>0.46632222781662869</v>
      </c>
      <c r="L576">
        <f t="shared" ca="1" si="36"/>
        <v>0.11617598338197037</v>
      </c>
      <c r="M576">
        <f t="shared" ca="1" si="37"/>
        <v>197.10701763833092</v>
      </c>
    </row>
    <row r="577" spans="9:13" x14ac:dyDescent="0.25">
      <c r="I577">
        <v>517</v>
      </c>
      <c r="J577">
        <f t="shared" ca="1" si="34"/>
        <v>0.12240448899769041</v>
      </c>
      <c r="K577">
        <f t="shared" ca="1" si="35"/>
        <v>0.42603926924285845</v>
      </c>
      <c r="L577">
        <f t="shared" ca="1" si="36"/>
        <v>0.10860418898642839</v>
      </c>
      <c r="M577">
        <f t="shared" ca="1" si="37"/>
        <v>230.37355675878356</v>
      </c>
    </row>
    <row r="578" spans="9:13" x14ac:dyDescent="0.25">
      <c r="I578">
        <v>518</v>
      </c>
      <c r="J578">
        <f t="shared" ca="1" si="34"/>
        <v>8.8379200621058016E-2</v>
      </c>
      <c r="K578">
        <f t="shared" ca="1" si="35"/>
        <v>0.44018592056309586</v>
      </c>
      <c r="L578">
        <f t="shared" ca="1" si="36"/>
        <v>0.10688880039480544</v>
      </c>
      <c r="M578">
        <f t="shared" ca="1" si="37"/>
        <v>208.126429306495</v>
      </c>
    </row>
    <row r="579" spans="9:13" x14ac:dyDescent="0.25">
      <c r="I579">
        <v>519</v>
      </c>
      <c r="J579">
        <f t="shared" ca="1" si="34"/>
        <v>6.687282980901231E-2</v>
      </c>
      <c r="K579">
        <f t="shared" ca="1" si="35"/>
        <v>0.47428518766467759</v>
      </c>
      <c r="L579">
        <f t="shared" ca="1" si="36"/>
        <v>0.12133086711909215</v>
      </c>
      <c r="M579">
        <f t="shared" ca="1" si="37"/>
        <v>172.70034407768875</v>
      </c>
    </row>
    <row r="580" spans="9:13" x14ac:dyDescent="0.25">
      <c r="I580">
        <v>520</v>
      </c>
      <c r="J580">
        <f t="shared" ca="1" si="34"/>
        <v>8.9513641319822645E-2</v>
      </c>
      <c r="K580">
        <f t="shared" ca="1" si="35"/>
        <v>0.45966824637510467</v>
      </c>
      <c r="L580">
        <f t="shared" ca="1" si="36"/>
        <v>0.10588753248390206</v>
      </c>
      <c r="M580">
        <f t="shared" ca="1" si="37"/>
        <v>221.23544242596219</v>
      </c>
    </row>
    <row r="581" spans="9:13" x14ac:dyDescent="0.25">
      <c r="I581">
        <v>521</v>
      </c>
      <c r="J581">
        <f t="shared" ca="1" si="34"/>
        <v>8.2832123356644152E-2</v>
      </c>
      <c r="K581">
        <f t="shared" ca="1" si="35"/>
        <v>0.44134047225230255</v>
      </c>
      <c r="L581">
        <f t="shared" ca="1" si="36"/>
        <v>0.10109019219216732</v>
      </c>
      <c r="M581">
        <f t="shared" ca="1" si="37"/>
        <v>218.75664038463978</v>
      </c>
    </row>
    <row r="582" spans="9:13" x14ac:dyDescent="0.25">
      <c r="I582">
        <v>522</v>
      </c>
      <c r="J582">
        <f t="shared" ca="1" si="34"/>
        <v>8.5200916511934857E-2</v>
      </c>
      <c r="K582">
        <f t="shared" ca="1" si="35"/>
        <v>0.35953698096953035</v>
      </c>
      <c r="L582">
        <f t="shared" ca="1" si="36"/>
        <v>0.10208775140831208</v>
      </c>
      <c r="M582">
        <f t="shared" ca="1" si="37"/>
        <v>177.57470400568803</v>
      </c>
    </row>
    <row r="583" spans="9:13" x14ac:dyDescent="0.25">
      <c r="I583">
        <v>523</v>
      </c>
      <c r="J583">
        <f t="shared" ca="1" si="34"/>
        <v>0.12715212956928723</v>
      </c>
      <c r="K583">
        <f t="shared" ca="1" si="35"/>
        <v>0.45337633779224068</v>
      </c>
      <c r="L583">
        <f t="shared" ca="1" si="36"/>
        <v>0.1133446344762378</v>
      </c>
      <c r="M583">
        <f t="shared" ca="1" si="37"/>
        <v>237.19658629948896</v>
      </c>
    </row>
    <row r="584" spans="9:13" x14ac:dyDescent="0.25">
      <c r="I584">
        <v>524</v>
      </c>
      <c r="J584">
        <f t="shared" ca="1" si="34"/>
        <v>0.11017950253787123</v>
      </c>
      <c r="K584">
        <f t="shared" ca="1" si="35"/>
        <v>0.42482171434762722</v>
      </c>
      <c r="L584">
        <f t="shared" ca="1" si="36"/>
        <v>9.669578325956997E-2</v>
      </c>
      <c r="M584">
        <f t="shared" ca="1" si="37"/>
        <v>253.19468938528624</v>
      </c>
    </row>
    <row r="585" spans="9:13" x14ac:dyDescent="0.25">
      <c r="I585">
        <v>525</v>
      </c>
      <c r="J585">
        <f t="shared" ca="1" si="34"/>
        <v>5.6889114617380304E-2</v>
      </c>
      <c r="K585">
        <f t="shared" ca="1" si="35"/>
        <v>0.42385351816955419</v>
      </c>
      <c r="L585">
        <f t="shared" ca="1" si="36"/>
        <v>0.11509588273534256</v>
      </c>
      <c r="M585">
        <f t="shared" ca="1" si="37"/>
        <v>157.1280452211397</v>
      </c>
    </row>
    <row r="586" spans="9:13" x14ac:dyDescent="0.25">
      <c r="I586">
        <v>526</v>
      </c>
      <c r="J586">
        <f t="shared" ca="1" si="34"/>
        <v>9.107769278821233E-2</v>
      </c>
      <c r="K586">
        <f t="shared" ca="1" si="35"/>
        <v>0.42323386932608786</v>
      </c>
      <c r="L586">
        <f t="shared" ca="1" si="36"/>
        <v>0.11272670853814129</v>
      </c>
      <c r="M586">
        <f t="shared" ca="1" si="37"/>
        <v>189.17800635210551</v>
      </c>
    </row>
    <row r="587" spans="9:13" x14ac:dyDescent="0.25">
      <c r="I587">
        <v>527</v>
      </c>
      <c r="J587">
        <f t="shared" ca="1" si="34"/>
        <v>0.12774135061752662</v>
      </c>
      <c r="K587">
        <f t="shared" ca="1" si="35"/>
        <v>0.43972140166104506</v>
      </c>
      <c r="L587">
        <f t="shared" ca="1" si="36"/>
        <v>0.11037667119661261</v>
      </c>
      <c r="M587">
        <f t="shared" ca="1" si="37"/>
        <v>238.5555210435711</v>
      </c>
    </row>
    <row r="588" spans="9:13" x14ac:dyDescent="0.25">
      <c r="I588">
        <v>528</v>
      </c>
      <c r="J588">
        <f t="shared" ca="1" si="34"/>
        <v>2.353736641525133E-2</v>
      </c>
      <c r="K588">
        <f t="shared" ca="1" si="35"/>
        <v>0.42391255676017686</v>
      </c>
      <c r="L588">
        <f t="shared" ca="1" si="36"/>
        <v>0.10173945635122845</v>
      </c>
      <c r="M588">
        <f t="shared" ca="1" si="37"/>
        <v>156.78875050236931</v>
      </c>
    </row>
    <row r="589" spans="9:13" x14ac:dyDescent="0.25">
      <c r="I589">
        <v>529</v>
      </c>
      <c r="J589">
        <f t="shared" ca="1" si="34"/>
        <v>0.10886911323950374</v>
      </c>
      <c r="K589">
        <f t="shared" ca="1" si="35"/>
        <v>0.4754835938637138</v>
      </c>
      <c r="L589">
        <f t="shared" ca="1" si="36"/>
        <v>0.13461542673994542</v>
      </c>
      <c r="M589">
        <f t="shared" ca="1" si="37"/>
        <v>185.07749060379484</v>
      </c>
    </row>
    <row r="590" spans="9:13" x14ac:dyDescent="0.25">
      <c r="I590">
        <v>530</v>
      </c>
      <c r="J590">
        <f t="shared" ca="1" si="34"/>
        <v>9.7838758870534809E-2</v>
      </c>
      <c r="K590">
        <f t="shared" ca="1" si="35"/>
        <v>0.42995642396474543</v>
      </c>
      <c r="L590">
        <f t="shared" ca="1" si="36"/>
        <v>0.11366741108000854</v>
      </c>
      <c r="M590">
        <f t="shared" ca="1" si="37"/>
        <v>196.19935987536653</v>
      </c>
    </row>
    <row r="591" spans="9:13" x14ac:dyDescent="0.25">
      <c r="I591">
        <v>531</v>
      </c>
      <c r="J591">
        <f t="shared" ca="1" si="34"/>
        <v>0.11272721786121789</v>
      </c>
      <c r="K591">
        <f t="shared" ca="1" si="35"/>
        <v>0.43982464839269081</v>
      </c>
      <c r="L591">
        <f t="shared" ca="1" si="36"/>
        <v>9.00975742393616E-2</v>
      </c>
      <c r="M591">
        <f t="shared" ca="1" si="37"/>
        <v>291.90552654461925</v>
      </c>
    </row>
    <row r="592" spans="9:13" x14ac:dyDescent="0.25">
      <c r="I592">
        <v>532</v>
      </c>
      <c r="J592">
        <f t="shared" ca="1" si="34"/>
        <v>8.6421024366103771E-2</v>
      </c>
      <c r="K592">
        <f t="shared" ca="1" si="35"/>
        <v>0.4578632485878647</v>
      </c>
      <c r="L592">
        <f t="shared" ca="1" si="36"/>
        <v>0.1112243972282969</v>
      </c>
      <c r="M592">
        <f t="shared" ca="1" si="37"/>
        <v>203.88358660026452</v>
      </c>
    </row>
    <row r="593" spans="9:13" x14ac:dyDescent="0.25">
      <c r="I593">
        <v>533</v>
      </c>
      <c r="J593">
        <f t="shared" ca="1" si="34"/>
        <v>7.0565004730709063E-2</v>
      </c>
      <c r="K593">
        <f t="shared" ca="1" si="35"/>
        <v>0.46046356584724524</v>
      </c>
      <c r="L593">
        <f t="shared" ca="1" si="36"/>
        <v>0.11912881598050952</v>
      </c>
      <c r="M593">
        <f t="shared" ca="1" si="37"/>
        <v>174.52974404198619</v>
      </c>
    </row>
    <row r="594" spans="9:13" x14ac:dyDescent="0.25">
      <c r="I594">
        <v>534</v>
      </c>
      <c r="J594">
        <f t="shared" ca="1" si="34"/>
        <v>0.10441523503373383</v>
      </c>
      <c r="K594">
        <f t="shared" ca="1" si="35"/>
        <v>0.39350026687989581</v>
      </c>
      <c r="L594">
        <f t="shared" ca="1" si="36"/>
        <v>0.1022095834009602</v>
      </c>
      <c r="M594">
        <f t="shared" ca="1" si="37"/>
        <v>212.14837627430038</v>
      </c>
    </row>
    <row r="595" spans="9:13" x14ac:dyDescent="0.25">
      <c r="I595">
        <v>535</v>
      </c>
      <c r="J595">
        <f t="shared" ca="1" si="34"/>
        <v>7.2599677605721266E-2</v>
      </c>
      <c r="K595">
        <f t="shared" ca="1" si="35"/>
        <v>0.39601767014619887</v>
      </c>
      <c r="L595">
        <f t="shared" ca="1" si="36"/>
        <v>0.10302898245155857</v>
      </c>
      <c r="M595">
        <f t="shared" ca="1" si="37"/>
        <v>182.3451895662196</v>
      </c>
    </row>
    <row r="596" spans="9:13" x14ac:dyDescent="0.25">
      <c r="I596">
        <v>536</v>
      </c>
      <c r="J596">
        <f t="shared" ca="1" si="34"/>
        <v>8.2804094032520981E-2</v>
      </c>
      <c r="K596">
        <f t="shared" ca="1" si="35"/>
        <v>0.47242866933289684</v>
      </c>
      <c r="L596">
        <f t="shared" ca="1" si="36"/>
        <v>0.10913076738364082</v>
      </c>
      <c r="M596">
        <f t="shared" ca="1" si="37"/>
        <v>212.02214709430319</v>
      </c>
    </row>
    <row r="597" spans="9:13" x14ac:dyDescent="0.25">
      <c r="I597">
        <v>537</v>
      </c>
      <c r="J597">
        <f t="shared" ca="1" si="34"/>
        <v>8.9005657935978186E-2</v>
      </c>
      <c r="K597">
        <f t="shared" ca="1" si="35"/>
        <v>0.44220155777612091</v>
      </c>
      <c r="L597">
        <f t="shared" ca="1" si="36"/>
        <v>0.11381764002643009</v>
      </c>
      <c r="M597">
        <f t="shared" ca="1" si="37"/>
        <v>193.45440752131699</v>
      </c>
    </row>
    <row r="598" spans="9:13" x14ac:dyDescent="0.25">
      <c r="I598">
        <v>538</v>
      </c>
      <c r="J598">
        <f t="shared" ca="1" si="34"/>
        <v>0.11474437188603898</v>
      </c>
      <c r="K598">
        <f t="shared" ca="1" si="35"/>
        <v>0.43148427263405897</v>
      </c>
      <c r="L598">
        <f t="shared" ca="1" si="36"/>
        <v>0.1023277351899118</v>
      </c>
      <c r="M598">
        <f t="shared" ca="1" si="37"/>
        <v>243.57472956912142</v>
      </c>
    </row>
    <row r="599" spans="9:13" x14ac:dyDescent="0.25">
      <c r="I599">
        <v>539</v>
      </c>
      <c r="J599">
        <f t="shared" ca="1" si="34"/>
        <v>7.3151191091216289E-2</v>
      </c>
      <c r="K599">
        <f t="shared" ca="1" si="35"/>
        <v>0.39536714770671932</v>
      </c>
      <c r="L599">
        <f t="shared" ca="1" si="36"/>
        <v>9.2687091255058252E-2</v>
      </c>
      <c r="M599">
        <f t="shared" ca="1" si="37"/>
        <v>210.23069852235443</v>
      </c>
    </row>
    <row r="600" spans="9:13" x14ac:dyDescent="0.25">
      <c r="I600">
        <v>540</v>
      </c>
      <c r="J600">
        <f t="shared" ca="1" si="34"/>
        <v>0.13116319261611672</v>
      </c>
      <c r="K600">
        <f t="shared" ca="1" si="35"/>
        <v>0.41054725686637777</v>
      </c>
      <c r="L600">
        <f t="shared" ca="1" si="36"/>
        <v>0.10480890364170686</v>
      </c>
      <c r="M600">
        <f t="shared" ca="1" si="37"/>
        <v>241.67988146413089</v>
      </c>
    </row>
    <row r="601" spans="9:13" x14ac:dyDescent="0.25">
      <c r="I601">
        <v>541</v>
      </c>
      <c r="J601">
        <f t="shared" ca="1" si="34"/>
        <v>7.421871099942004E-2</v>
      </c>
      <c r="K601">
        <f t="shared" ca="1" si="35"/>
        <v>0.45205634738456757</v>
      </c>
      <c r="L601">
        <f t="shared" ca="1" si="36"/>
        <v>0.11346111652863256</v>
      </c>
      <c r="M601">
        <f t="shared" ca="1" si="37"/>
        <v>185.36611856812709</v>
      </c>
    </row>
    <row r="602" spans="9:13" x14ac:dyDescent="0.25">
      <c r="I602">
        <v>542</v>
      </c>
      <c r="J602">
        <f t="shared" ca="1" si="34"/>
        <v>0.12208291343828165</v>
      </c>
      <c r="K602">
        <f t="shared" ca="1" si="35"/>
        <v>0.42741312720678482</v>
      </c>
      <c r="L602">
        <f t="shared" ca="1" si="36"/>
        <v>0.11152318050905474</v>
      </c>
      <c r="M602">
        <f t="shared" ca="1" si="37"/>
        <v>223.06695435323167</v>
      </c>
    </row>
    <row r="603" spans="9:13" x14ac:dyDescent="0.25">
      <c r="I603">
        <v>543</v>
      </c>
      <c r="J603">
        <f t="shared" ca="1" si="34"/>
        <v>5.5000589067156533E-2</v>
      </c>
      <c r="K603">
        <f t="shared" ca="1" si="35"/>
        <v>0.46154287901567204</v>
      </c>
      <c r="L603">
        <f t="shared" ca="1" si="36"/>
        <v>0.12266600446002071</v>
      </c>
      <c r="M603">
        <f t="shared" ca="1" si="37"/>
        <v>156.63385272978081</v>
      </c>
    </row>
    <row r="604" spans="9:13" x14ac:dyDescent="0.25">
      <c r="I604">
        <v>544</v>
      </c>
      <c r="J604">
        <f t="shared" ca="1" si="34"/>
        <v>7.5693415515408993E-2</v>
      </c>
      <c r="K604">
        <f t="shared" ca="1" si="35"/>
        <v>0.45285983801463037</v>
      </c>
      <c r="L604">
        <f t="shared" ca="1" si="36"/>
        <v>0.11052624011124552</v>
      </c>
      <c r="M604">
        <f t="shared" ca="1" si="37"/>
        <v>193.35594351390753</v>
      </c>
    </row>
    <row r="605" spans="9:13" x14ac:dyDescent="0.25">
      <c r="I605">
        <v>545</v>
      </c>
      <c r="J605">
        <f t="shared" ca="1" si="34"/>
        <v>8.8750958247563586E-2</v>
      </c>
      <c r="K605">
        <f t="shared" ca="1" si="35"/>
        <v>0.46807599502703173</v>
      </c>
      <c r="L605">
        <f t="shared" ca="1" si="36"/>
        <v>9.8458969524491791E-2</v>
      </c>
      <c r="M605">
        <f t="shared" ca="1" si="37"/>
        <v>247.0397922367855</v>
      </c>
    </row>
    <row r="606" spans="9:13" x14ac:dyDescent="0.25">
      <c r="I606">
        <v>546</v>
      </c>
      <c r="J606">
        <f t="shared" ca="1" si="34"/>
        <v>3.745196018278462E-2</v>
      </c>
      <c r="K606">
        <f t="shared" ca="1" si="35"/>
        <v>0.46258369551179929</v>
      </c>
      <c r="L606">
        <f t="shared" ca="1" si="36"/>
        <v>0.10846077046291008</v>
      </c>
      <c r="M606">
        <f t="shared" ca="1" si="37"/>
        <v>168.62553755684269</v>
      </c>
    </row>
    <row r="607" spans="9:13" x14ac:dyDescent="0.25">
      <c r="I607">
        <v>547</v>
      </c>
      <c r="J607">
        <f t="shared" ca="1" si="34"/>
        <v>6.1127197375009906E-2</v>
      </c>
      <c r="K607">
        <f t="shared" ca="1" si="35"/>
        <v>0.48004122787544329</v>
      </c>
      <c r="L607">
        <f t="shared" ca="1" si="36"/>
        <v>0.10862351475222043</v>
      </c>
      <c r="M607">
        <f t="shared" ca="1" si="37"/>
        <v>195.76382102752351</v>
      </c>
    </row>
    <row r="608" spans="9:13" x14ac:dyDescent="0.25">
      <c r="I608">
        <v>548</v>
      </c>
      <c r="J608">
        <f t="shared" ca="1" si="34"/>
        <v>3.5225266313390922E-2</v>
      </c>
      <c r="K608">
        <f t="shared" ca="1" si="35"/>
        <v>0.44709102657905864</v>
      </c>
      <c r="L608">
        <f t="shared" ca="1" si="36"/>
        <v>9.5163092042672301E-2</v>
      </c>
      <c r="M608">
        <f t="shared" ca="1" si="37"/>
        <v>191.53519162687911</v>
      </c>
    </row>
    <row r="609" spans="9:13" x14ac:dyDescent="0.25">
      <c r="I609">
        <v>549</v>
      </c>
      <c r="J609">
        <f t="shared" ca="1" si="34"/>
        <v>5.8929419041613536E-2</v>
      </c>
      <c r="K609">
        <f t="shared" ca="1" si="35"/>
        <v>0.47086182266989979</v>
      </c>
      <c r="L609">
        <f t="shared" ca="1" si="36"/>
        <v>0.11237979851812221</v>
      </c>
      <c r="M609">
        <f t="shared" ca="1" si="37"/>
        <v>181.88242693576339</v>
      </c>
    </row>
    <row r="610" spans="9:13" x14ac:dyDescent="0.25">
      <c r="I610">
        <v>550</v>
      </c>
      <c r="J610">
        <f t="shared" ca="1" si="34"/>
        <v>9.9489008716918237E-2</v>
      </c>
      <c r="K610">
        <f t="shared" ca="1" si="35"/>
        <v>0.41066082816301347</v>
      </c>
      <c r="L610">
        <f t="shared" ca="1" si="36"/>
        <v>0.1113846735959076</v>
      </c>
      <c r="M610">
        <f t="shared" ca="1" si="37"/>
        <v>193.6977026192732</v>
      </c>
    </row>
    <row r="611" spans="9:13" x14ac:dyDescent="0.25">
      <c r="I611">
        <v>551</v>
      </c>
      <c r="J611">
        <f t="shared" ca="1" si="34"/>
        <v>5.8036155154389979E-2</v>
      </c>
      <c r="K611">
        <f t="shared" ca="1" si="35"/>
        <v>0.39795458803318789</v>
      </c>
      <c r="L611">
        <f t="shared" ca="1" si="36"/>
        <v>0.10085376125515104</v>
      </c>
      <c r="M611">
        <f t="shared" ca="1" si="37"/>
        <v>175.91211231620926</v>
      </c>
    </row>
    <row r="612" spans="9:13" x14ac:dyDescent="0.25">
      <c r="I612">
        <v>552</v>
      </c>
      <c r="J612">
        <f t="shared" ca="1" si="34"/>
        <v>2.5185471351541699E-2</v>
      </c>
      <c r="K612">
        <f t="shared" ca="1" si="35"/>
        <v>0.44535474019929111</v>
      </c>
      <c r="L612">
        <f t="shared" ca="1" si="36"/>
        <v>0.12354053706959447</v>
      </c>
      <c r="M612">
        <f t="shared" ca="1" si="37"/>
        <v>129.54470483110342</v>
      </c>
    </row>
    <row r="613" spans="9:13" x14ac:dyDescent="0.25">
      <c r="I613">
        <v>553</v>
      </c>
      <c r="J613">
        <f t="shared" ca="1" si="34"/>
        <v>8.9522082882239756E-2</v>
      </c>
      <c r="K613">
        <f t="shared" ca="1" si="35"/>
        <v>0.41934889568286993</v>
      </c>
      <c r="L613">
        <f t="shared" ca="1" si="36"/>
        <v>0.12063928490071155</v>
      </c>
      <c r="M613">
        <f t="shared" ca="1" si="37"/>
        <v>170.79679445466559</v>
      </c>
    </row>
    <row r="614" spans="9:13" x14ac:dyDescent="0.25">
      <c r="I614">
        <v>554</v>
      </c>
      <c r="J614">
        <f t="shared" ca="1" si="34"/>
        <v>6.5123074660478938E-2</v>
      </c>
      <c r="K614">
        <f t="shared" ca="1" si="35"/>
        <v>0.38771306541870831</v>
      </c>
      <c r="L614">
        <f t="shared" ca="1" si="36"/>
        <v>0.12737469509486926</v>
      </c>
      <c r="M614">
        <f t="shared" ca="1" si="37"/>
        <v>131.52064010597488</v>
      </c>
    </row>
    <row r="615" spans="9:13" x14ac:dyDescent="0.25">
      <c r="I615">
        <v>555</v>
      </c>
      <c r="J615">
        <f t="shared" ca="1" si="34"/>
        <v>6.7803949098199978E-2</v>
      </c>
      <c r="K615">
        <f t="shared" ca="1" si="35"/>
        <v>0.4454233972310247</v>
      </c>
      <c r="L615">
        <f t="shared" ca="1" si="36"/>
        <v>0.11110360369505944</v>
      </c>
      <c r="M615">
        <f t="shared" ca="1" si="37"/>
        <v>182.00621157095958</v>
      </c>
    </row>
    <row r="616" spans="9:13" x14ac:dyDescent="0.25">
      <c r="I616">
        <v>556</v>
      </c>
      <c r="J616">
        <f t="shared" ca="1" si="34"/>
        <v>6.7978877353272044E-2</v>
      </c>
      <c r="K616">
        <f t="shared" ca="1" si="35"/>
        <v>0.45748598160329645</v>
      </c>
      <c r="L616">
        <f t="shared" ca="1" si="36"/>
        <v>0.1352504479361763</v>
      </c>
      <c r="M616">
        <f t="shared" ca="1" si="37"/>
        <v>146.41265957975037</v>
      </c>
    </row>
    <row r="617" spans="9:13" x14ac:dyDescent="0.25">
      <c r="I617">
        <v>557</v>
      </c>
      <c r="J617">
        <f t="shared" ca="1" si="34"/>
        <v>8.6719481738508311E-2</v>
      </c>
      <c r="K617">
        <f t="shared" ca="1" si="35"/>
        <v>0.39915946451390499</v>
      </c>
      <c r="L617">
        <f t="shared" ca="1" si="36"/>
        <v>0.10818214682910994</v>
      </c>
      <c r="M617">
        <f t="shared" ca="1" si="37"/>
        <v>184.24581721805316</v>
      </c>
    </row>
    <row r="618" spans="9:13" x14ac:dyDescent="0.25">
      <c r="I618">
        <v>558</v>
      </c>
      <c r="J618">
        <f t="shared" ca="1" si="34"/>
        <v>7.6360804947261829E-2</v>
      </c>
      <c r="K618">
        <f t="shared" ca="1" si="35"/>
        <v>0.41508226985932012</v>
      </c>
      <c r="L618">
        <f t="shared" ca="1" si="36"/>
        <v>0.11240905748019978</v>
      </c>
      <c r="M618">
        <f t="shared" ca="1" si="37"/>
        <v>173.84833072738928</v>
      </c>
    </row>
    <row r="619" spans="9:13" x14ac:dyDescent="0.25">
      <c r="I619">
        <v>559</v>
      </c>
      <c r="J619">
        <f t="shared" ca="1" si="34"/>
        <v>8.3995313800177579E-2</v>
      </c>
      <c r="K619">
        <f t="shared" ca="1" si="35"/>
        <v>0.4785556702189393</v>
      </c>
      <c r="L619">
        <f t="shared" ca="1" si="36"/>
        <v>0.10815790737599619</v>
      </c>
      <c r="M619">
        <f t="shared" ca="1" si="37"/>
        <v>218.49164023137672</v>
      </c>
    </row>
    <row r="620" spans="9:13" x14ac:dyDescent="0.25">
      <c r="I620">
        <v>560</v>
      </c>
      <c r="J620">
        <f t="shared" ca="1" si="34"/>
        <v>0.136176359963778</v>
      </c>
      <c r="K620">
        <f t="shared" ca="1" si="35"/>
        <v>0.44071303858597372</v>
      </c>
      <c r="L620">
        <f t="shared" ca="1" si="36"/>
        <v>0.12374871699665629</v>
      </c>
      <c r="M620">
        <f t="shared" ca="1" si="37"/>
        <v>214.9115902894103</v>
      </c>
    </row>
    <row r="621" spans="9:13" x14ac:dyDescent="0.25">
      <c r="I621">
        <v>561</v>
      </c>
      <c r="J621">
        <f t="shared" ca="1" si="34"/>
        <v>0.13502408155885071</v>
      </c>
      <c r="K621">
        <f t="shared" ca="1" si="35"/>
        <v>0.43211432057204108</v>
      </c>
      <c r="L621">
        <f t="shared" ca="1" si="36"/>
        <v>0.11465074989768471</v>
      </c>
      <c r="M621">
        <f t="shared" ca="1" si="37"/>
        <v>230.67827130592303</v>
      </c>
    </row>
    <row r="622" spans="9:13" x14ac:dyDescent="0.25">
      <c r="I622">
        <v>562</v>
      </c>
      <c r="J622">
        <f t="shared" ca="1" si="34"/>
        <v>6.282417884370646E-2</v>
      </c>
      <c r="K622">
        <f t="shared" ca="1" si="35"/>
        <v>0.39661771507495358</v>
      </c>
      <c r="L622">
        <f t="shared" ca="1" si="36"/>
        <v>0.12424502303238212</v>
      </c>
      <c r="M622">
        <f t="shared" ca="1" si="37"/>
        <v>137.28814245868585</v>
      </c>
    </row>
    <row r="623" spans="9:13" x14ac:dyDescent="0.25">
      <c r="I623">
        <v>563</v>
      </c>
      <c r="J623">
        <f t="shared" ca="1" si="34"/>
        <v>7.721619661715981E-2</v>
      </c>
      <c r="K623">
        <f t="shared" ca="1" si="35"/>
        <v>0.42863450868973252</v>
      </c>
      <c r="L623">
        <f t="shared" ca="1" si="36"/>
        <v>0.120445726925493</v>
      </c>
      <c r="M623">
        <f t="shared" ca="1" si="37"/>
        <v>165.21786674898124</v>
      </c>
    </row>
    <row r="624" spans="9:13" x14ac:dyDescent="0.25">
      <c r="I624">
        <v>564</v>
      </c>
      <c r="J624">
        <f t="shared" ca="1" si="34"/>
        <v>8.7598546360721494E-2</v>
      </c>
      <c r="K624">
        <f t="shared" ca="1" si="35"/>
        <v>0.40996748006886929</v>
      </c>
      <c r="L624">
        <f t="shared" ca="1" si="36"/>
        <v>0.10480677384305434</v>
      </c>
      <c r="M624">
        <f t="shared" ca="1" si="37"/>
        <v>198.03241417045285</v>
      </c>
    </row>
    <row r="625" spans="9:13" x14ac:dyDescent="0.25">
      <c r="I625">
        <v>565</v>
      </c>
      <c r="J625">
        <f t="shared" ca="1" si="34"/>
        <v>9.2963119100416242E-2</v>
      </c>
      <c r="K625">
        <f t="shared" ca="1" si="35"/>
        <v>0.42539264727907483</v>
      </c>
      <c r="L625">
        <f t="shared" ca="1" si="36"/>
        <v>9.9447006732707816E-2</v>
      </c>
      <c r="M625">
        <f t="shared" ca="1" si="37"/>
        <v>225.75852581923641</v>
      </c>
    </row>
    <row r="626" spans="9:13" x14ac:dyDescent="0.25">
      <c r="I626">
        <v>566</v>
      </c>
      <c r="J626">
        <f t="shared" ca="1" si="34"/>
        <v>9.9649953944353609E-2</v>
      </c>
      <c r="K626">
        <f t="shared" ca="1" si="35"/>
        <v>0.51806700264376282</v>
      </c>
      <c r="L626">
        <f t="shared" ca="1" si="36"/>
        <v>0.1268650095352338</v>
      </c>
      <c r="M626">
        <f t="shared" ca="1" si="37"/>
        <v>208.04894763124977</v>
      </c>
    </row>
    <row r="627" spans="9:13" x14ac:dyDescent="0.25">
      <c r="I627">
        <v>567</v>
      </c>
      <c r="J627">
        <f t="shared" ca="1" si="34"/>
        <v>4.2974171974753395E-2</v>
      </c>
      <c r="K627">
        <f t="shared" ca="1" si="35"/>
        <v>0.46661264013640152</v>
      </c>
      <c r="L627">
        <f t="shared" ca="1" si="36"/>
        <v>9.9761155437833843E-2</v>
      </c>
      <c r="M627">
        <f t="shared" ca="1" si="37"/>
        <v>194.92721093500427</v>
      </c>
    </row>
    <row r="628" spans="9:13" x14ac:dyDescent="0.25">
      <c r="I628">
        <v>568</v>
      </c>
      <c r="J628">
        <f t="shared" ca="1" si="34"/>
        <v>6.8015761438542488E-2</v>
      </c>
      <c r="K628">
        <f t="shared" ca="1" si="35"/>
        <v>0.45394988792935981</v>
      </c>
      <c r="L628">
        <f t="shared" ca="1" si="36"/>
        <v>0.11585011421888217</v>
      </c>
      <c r="M628">
        <f t="shared" ca="1" si="37"/>
        <v>176.07089317195627</v>
      </c>
    </row>
    <row r="629" spans="9:13" x14ac:dyDescent="0.25">
      <c r="I629">
        <v>569</v>
      </c>
      <c r="J629">
        <f t="shared" ca="1" si="34"/>
        <v>6.2545300346574448E-2</v>
      </c>
      <c r="K629">
        <f t="shared" ca="1" si="35"/>
        <v>0.50624583964094283</v>
      </c>
      <c r="L629">
        <f t="shared" ca="1" si="36"/>
        <v>0.11530239836839432</v>
      </c>
      <c r="M629">
        <f t="shared" ca="1" si="37"/>
        <v>192.66635115072802</v>
      </c>
    </row>
    <row r="630" spans="9:13" x14ac:dyDescent="0.25">
      <c r="I630">
        <v>570</v>
      </c>
      <c r="J630">
        <f t="shared" ca="1" si="34"/>
        <v>3.6394669158232959E-2</v>
      </c>
      <c r="K630">
        <f t="shared" ca="1" si="35"/>
        <v>0.41552446300237161</v>
      </c>
      <c r="L630">
        <f t="shared" ca="1" si="36"/>
        <v>0.11521934356331963</v>
      </c>
      <c r="M630">
        <f t="shared" ca="1" si="37"/>
        <v>139.30849178489694</v>
      </c>
    </row>
    <row r="631" spans="9:13" x14ac:dyDescent="0.25">
      <c r="I631">
        <v>571</v>
      </c>
      <c r="J631">
        <f t="shared" ca="1" si="34"/>
        <v>0.1076070000432246</v>
      </c>
      <c r="K631">
        <f t="shared" ca="1" si="35"/>
        <v>0.42131418330146292</v>
      </c>
      <c r="L631">
        <f t="shared" ca="1" si="36"/>
        <v>0.107621423395883</v>
      </c>
      <c r="M631">
        <f t="shared" ca="1" si="37"/>
        <v>215.58909934779408</v>
      </c>
    </row>
    <row r="632" spans="9:13" x14ac:dyDescent="0.25">
      <c r="I632">
        <v>572</v>
      </c>
      <c r="J632">
        <f t="shared" ca="1" si="34"/>
        <v>7.380469010341259E-2</v>
      </c>
      <c r="K632">
        <f t="shared" ca="1" si="35"/>
        <v>0.48584485967719176</v>
      </c>
      <c r="L632">
        <f t="shared" ca="1" si="36"/>
        <v>0.11500528994864895</v>
      </c>
      <c r="M632">
        <f t="shared" ca="1" si="37"/>
        <v>195.56534317456081</v>
      </c>
    </row>
    <row r="633" spans="9:13" x14ac:dyDescent="0.25">
      <c r="I633">
        <v>573</v>
      </c>
      <c r="J633">
        <f t="shared" ca="1" si="34"/>
        <v>0.12400851769569968</v>
      </c>
      <c r="K633">
        <f t="shared" ca="1" si="35"/>
        <v>0.42962332446532392</v>
      </c>
      <c r="L633">
        <f t="shared" ca="1" si="36"/>
        <v>0.10218562754940938</v>
      </c>
      <c r="M633">
        <f t="shared" ca="1" si="37"/>
        <v>253.29176319316036</v>
      </c>
    </row>
    <row r="634" spans="9:13" x14ac:dyDescent="0.25">
      <c r="I634">
        <v>574</v>
      </c>
      <c r="J634">
        <f t="shared" ca="1" si="34"/>
        <v>8.1041918110257238E-2</v>
      </c>
      <c r="K634">
        <f t="shared" ca="1" si="35"/>
        <v>0.3755945032462033</v>
      </c>
      <c r="L634">
        <f t="shared" ca="1" si="36"/>
        <v>0.12012320536299052</v>
      </c>
      <c r="M634">
        <f t="shared" ca="1" si="37"/>
        <v>147.68869328629813</v>
      </c>
    </row>
    <row r="635" spans="9:13" x14ac:dyDescent="0.25">
      <c r="I635">
        <v>575</v>
      </c>
      <c r="J635">
        <f t="shared" ca="1" si="34"/>
        <v>7.3837881625589727E-2</v>
      </c>
      <c r="K635">
        <f t="shared" ca="1" si="35"/>
        <v>0.46893057091652007</v>
      </c>
      <c r="L635">
        <f t="shared" ca="1" si="36"/>
        <v>0.11485165827251319</v>
      </c>
      <c r="M635">
        <f t="shared" ca="1" si="37"/>
        <v>189.05175958961101</v>
      </c>
    </row>
    <row r="636" spans="9:13" x14ac:dyDescent="0.25">
      <c r="I636">
        <v>576</v>
      </c>
      <c r="J636">
        <f t="shared" ca="1" si="34"/>
        <v>0.1014603010895041</v>
      </c>
      <c r="K636">
        <f t="shared" ca="1" si="35"/>
        <v>0.36694560699040563</v>
      </c>
      <c r="L636">
        <f t="shared" ca="1" si="36"/>
        <v>0.12301412659694129</v>
      </c>
      <c r="M636">
        <f t="shared" ca="1" si="37"/>
        <v>153.90763010460174</v>
      </c>
    </row>
    <row r="637" spans="9:13" x14ac:dyDescent="0.25">
      <c r="I637">
        <v>577</v>
      </c>
      <c r="J637">
        <f t="shared" ca="1" si="34"/>
        <v>9.1637185638308055E-2</v>
      </c>
      <c r="K637">
        <f t="shared" ca="1" si="35"/>
        <v>0.45683731744967704</v>
      </c>
      <c r="L637">
        <f t="shared" ca="1" si="36"/>
        <v>9.8794866276888216E-2</v>
      </c>
      <c r="M637">
        <f t="shared" ca="1" si="37"/>
        <v>243.2000056430017</v>
      </c>
    </row>
    <row r="638" spans="9:13" x14ac:dyDescent="0.25">
      <c r="I638">
        <v>578</v>
      </c>
      <c r="J638">
        <f t="shared" ref="J638:J701" ca="1" si="38">_xlfn.NORM.INV(RAND(),0.085,0.03)</f>
        <v>9.9158006821224762E-2</v>
      </c>
      <c r="K638">
        <f t="shared" ref="K638:K701" ca="1" si="39">_xlfn.NORM.INV(RAND(),0.435,0.03)</f>
        <v>0.49086088426578689</v>
      </c>
      <c r="L638">
        <f t="shared" ref="L638:L701" ca="1" si="40">_xlfn.NORM.INV(RAND(),0.1106,0.01)</f>
        <v>9.7124415579886964E-2</v>
      </c>
      <c r="M638">
        <f t="shared" ref="M638:M701" ca="1" si="41">((416.161*(1+J638)^5*K638*(1-(1+L638)^-5)/L638)+(416.161*(1+J638)^5*K638*(1+0.025)/(L638-0.025)*(1+L638)^-5)-78.328+54.697)/15.02</f>
        <v>276.83205620263158</v>
      </c>
    </row>
    <row r="639" spans="9:13" x14ac:dyDescent="0.25">
      <c r="I639">
        <v>579</v>
      </c>
      <c r="J639">
        <f t="shared" ca="1" si="38"/>
        <v>7.1812559826542041E-2</v>
      </c>
      <c r="K639">
        <f t="shared" ca="1" si="39"/>
        <v>0.43917446668160109</v>
      </c>
      <c r="L639">
        <f t="shared" ca="1" si="40"/>
        <v>0.11354222516338072</v>
      </c>
      <c r="M639">
        <f t="shared" ca="1" si="41"/>
        <v>177.85224397335119</v>
      </c>
    </row>
    <row r="640" spans="9:13" x14ac:dyDescent="0.25">
      <c r="I640">
        <v>580</v>
      </c>
      <c r="J640">
        <f t="shared" ca="1" si="38"/>
        <v>9.4954951384028152E-2</v>
      </c>
      <c r="K640">
        <f t="shared" ca="1" si="39"/>
        <v>0.45831031834334141</v>
      </c>
      <c r="L640">
        <f t="shared" ca="1" si="40"/>
        <v>0.10471684956757012</v>
      </c>
      <c r="M640">
        <f t="shared" ca="1" si="41"/>
        <v>229.47556722070067</v>
      </c>
    </row>
    <row r="641" spans="9:13" x14ac:dyDescent="0.25">
      <c r="I641">
        <v>581</v>
      </c>
      <c r="J641">
        <f t="shared" ca="1" si="38"/>
        <v>0.11846440689594884</v>
      </c>
      <c r="K641">
        <f t="shared" ca="1" si="39"/>
        <v>0.41263913671730812</v>
      </c>
      <c r="L641">
        <f t="shared" ca="1" si="40"/>
        <v>0.11495444133731095</v>
      </c>
      <c r="M641">
        <f t="shared" ca="1" si="41"/>
        <v>203.81252029232292</v>
      </c>
    </row>
    <row r="642" spans="9:13" x14ac:dyDescent="0.25">
      <c r="I642">
        <v>582</v>
      </c>
      <c r="J642">
        <f t="shared" ca="1" si="38"/>
        <v>0.10701928099115461</v>
      </c>
      <c r="K642">
        <f t="shared" ca="1" si="39"/>
        <v>0.45071040715968852</v>
      </c>
      <c r="L642">
        <f t="shared" ca="1" si="40"/>
        <v>0.11629839389625717</v>
      </c>
      <c r="M642">
        <f t="shared" ca="1" si="41"/>
        <v>208.42937430900434</v>
      </c>
    </row>
    <row r="643" spans="9:13" x14ac:dyDescent="0.25">
      <c r="I643">
        <v>583</v>
      </c>
      <c r="J643">
        <f t="shared" ca="1" si="38"/>
        <v>5.6163499900176626E-2</v>
      </c>
      <c r="K643">
        <f t="shared" ca="1" si="39"/>
        <v>0.40899346661881619</v>
      </c>
      <c r="L643">
        <f t="shared" ca="1" si="40"/>
        <v>0.12194790690295004</v>
      </c>
      <c r="M643">
        <f t="shared" ca="1" si="41"/>
        <v>140.4220598476401</v>
      </c>
    </row>
    <row r="644" spans="9:13" x14ac:dyDescent="0.25">
      <c r="I644">
        <v>584</v>
      </c>
      <c r="J644">
        <f t="shared" ca="1" si="38"/>
        <v>3.831737232054578E-2</v>
      </c>
      <c r="K644">
        <f t="shared" ca="1" si="39"/>
        <v>0.4139512975690311</v>
      </c>
      <c r="L644">
        <f t="shared" ca="1" si="40"/>
        <v>0.12081563239776583</v>
      </c>
      <c r="M644">
        <f t="shared" ca="1" si="41"/>
        <v>131.9383761186491</v>
      </c>
    </row>
    <row r="645" spans="9:13" x14ac:dyDescent="0.25">
      <c r="I645">
        <v>585</v>
      </c>
      <c r="J645">
        <f t="shared" ca="1" si="38"/>
        <v>0.11475365886302993</v>
      </c>
      <c r="K645">
        <f t="shared" ca="1" si="39"/>
        <v>0.43828119497082063</v>
      </c>
      <c r="L645">
        <f t="shared" ca="1" si="40"/>
        <v>0.1138141200830728</v>
      </c>
      <c r="M645">
        <f t="shared" ca="1" si="41"/>
        <v>215.69165413293211</v>
      </c>
    </row>
    <row r="646" spans="9:13" x14ac:dyDescent="0.25">
      <c r="I646">
        <v>586</v>
      </c>
      <c r="J646">
        <f t="shared" ca="1" si="38"/>
        <v>3.5893326581358131E-2</v>
      </c>
      <c r="K646">
        <f t="shared" ca="1" si="39"/>
        <v>0.43945506307311649</v>
      </c>
      <c r="L646">
        <f t="shared" ca="1" si="40"/>
        <v>0.1304792952602864</v>
      </c>
      <c r="M646">
        <f t="shared" ca="1" si="41"/>
        <v>125.8913798406055</v>
      </c>
    </row>
    <row r="647" spans="9:13" x14ac:dyDescent="0.25">
      <c r="I647">
        <v>587</v>
      </c>
      <c r="J647">
        <f t="shared" ca="1" si="38"/>
        <v>4.9051352081785328E-2</v>
      </c>
      <c r="K647">
        <f t="shared" ca="1" si="39"/>
        <v>0.36826433577649037</v>
      </c>
      <c r="L647">
        <f t="shared" ca="1" si="40"/>
        <v>0.10473812455543592</v>
      </c>
      <c r="M647">
        <f t="shared" ca="1" si="41"/>
        <v>148.25441287661968</v>
      </c>
    </row>
    <row r="648" spans="9:13" x14ac:dyDescent="0.25">
      <c r="I648">
        <v>588</v>
      </c>
      <c r="J648">
        <f t="shared" ca="1" si="38"/>
        <v>0.11469098002985564</v>
      </c>
      <c r="K648">
        <f t="shared" ca="1" si="39"/>
        <v>0.47748383854770016</v>
      </c>
      <c r="L648">
        <f t="shared" ca="1" si="40"/>
        <v>0.10695105249343195</v>
      </c>
      <c r="M648">
        <f t="shared" ca="1" si="41"/>
        <v>254.56029704707544</v>
      </c>
    </row>
    <row r="649" spans="9:13" x14ac:dyDescent="0.25">
      <c r="I649">
        <v>589</v>
      </c>
      <c r="J649">
        <f t="shared" ca="1" si="38"/>
        <v>8.1969383807536517E-2</v>
      </c>
      <c r="K649">
        <f t="shared" ca="1" si="39"/>
        <v>0.3971755076370575</v>
      </c>
      <c r="L649">
        <f t="shared" ca="1" si="40"/>
        <v>0.12903723979725293</v>
      </c>
      <c r="M649">
        <f t="shared" ca="1" si="41"/>
        <v>143.58146597019197</v>
      </c>
    </row>
    <row r="650" spans="9:13" x14ac:dyDescent="0.25">
      <c r="I650">
        <v>590</v>
      </c>
      <c r="J650">
        <f t="shared" ca="1" si="38"/>
        <v>0.13342095256621195</v>
      </c>
      <c r="K650">
        <f t="shared" ca="1" si="39"/>
        <v>0.48433280151675184</v>
      </c>
      <c r="L650">
        <f t="shared" ca="1" si="40"/>
        <v>0.10719053666747075</v>
      </c>
      <c r="M650">
        <f t="shared" ca="1" si="41"/>
        <v>279.99716556497668</v>
      </c>
    </row>
    <row r="651" spans="9:13" x14ac:dyDescent="0.25">
      <c r="I651">
        <v>591</v>
      </c>
      <c r="J651">
        <f t="shared" ca="1" si="38"/>
        <v>9.8134023739400084E-2</v>
      </c>
      <c r="K651">
        <f t="shared" ca="1" si="39"/>
        <v>0.41233496932480829</v>
      </c>
      <c r="L651">
        <f t="shared" ca="1" si="40"/>
        <v>0.10763108455182978</v>
      </c>
      <c r="M651">
        <f t="shared" ca="1" si="41"/>
        <v>202.00288804512812</v>
      </c>
    </row>
    <row r="652" spans="9:13" x14ac:dyDescent="0.25">
      <c r="I652">
        <v>592</v>
      </c>
      <c r="J652">
        <f t="shared" ca="1" si="38"/>
        <v>0.11898086252490948</v>
      </c>
      <c r="K652">
        <f t="shared" ca="1" si="39"/>
        <v>0.47629962702670786</v>
      </c>
      <c r="L652">
        <f t="shared" ca="1" si="40"/>
        <v>0.10033617823324141</v>
      </c>
      <c r="M652">
        <f t="shared" ca="1" si="41"/>
        <v>281.40419145546326</v>
      </c>
    </row>
    <row r="653" spans="9:13" x14ac:dyDescent="0.25">
      <c r="I653">
        <v>593</v>
      </c>
      <c r="J653">
        <f t="shared" ca="1" si="38"/>
        <v>4.9254332653330624E-2</v>
      </c>
      <c r="K653">
        <f t="shared" ca="1" si="39"/>
        <v>0.40128391984942735</v>
      </c>
      <c r="L653">
        <f t="shared" ca="1" si="40"/>
        <v>0.10394121982823694</v>
      </c>
      <c r="M653">
        <f t="shared" ca="1" si="41"/>
        <v>163.47197656297482</v>
      </c>
    </row>
    <row r="654" spans="9:13" x14ac:dyDescent="0.25">
      <c r="I654">
        <v>594</v>
      </c>
      <c r="J654">
        <f t="shared" ca="1" si="38"/>
        <v>4.4850342460971561E-2</v>
      </c>
      <c r="K654">
        <f t="shared" ca="1" si="39"/>
        <v>0.45762807660837318</v>
      </c>
      <c r="L654">
        <f t="shared" ca="1" si="40"/>
        <v>9.154128987521698E-2</v>
      </c>
      <c r="M654">
        <f t="shared" ca="1" si="41"/>
        <v>216.56466898253348</v>
      </c>
    </row>
    <row r="655" spans="9:13" x14ac:dyDescent="0.25">
      <c r="I655">
        <v>595</v>
      </c>
      <c r="J655">
        <f t="shared" ca="1" si="38"/>
        <v>6.3390310787994397E-2</v>
      </c>
      <c r="K655">
        <f t="shared" ca="1" si="39"/>
        <v>0.36981890420196023</v>
      </c>
      <c r="L655">
        <f t="shared" ca="1" si="40"/>
        <v>0.10168341927140954</v>
      </c>
      <c r="M655">
        <f t="shared" ca="1" si="41"/>
        <v>165.77514071352684</v>
      </c>
    </row>
    <row r="656" spans="9:13" x14ac:dyDescent="0.25">
      <c r="I656">
        <v>596</v>
      </c>
      <c r="J656">
        <f t="shared" ca="1" si="38"/>
        <v>6.0451060487226135E-2</v>
      </c>
      <c r="K656">
        <f t="shared" ca="1" si="39"/>
        <v>0.44183467462684783</v>
      </c>
      <c r="L656">
        <f t="shared" ca="1" si="40"/>
        <v>0.12731634383409754</v>
      </c>
      <c r="M656">
        <f t="shared" ca="1" si="41"/>
        <v>146.88523396603748</v>
      </c>
    </row>
    <row r="657" spans="9:13" x14ac:dyDescent="0.25">
      <c r="I657">
        <v>597</v>
      </c>
      <c r="J657">
        <f t="shared" ca="1" si="38"/>
        <v>6.9369904807501034E-2</v>
      </c>
      <c r="K657">
        <f t="shared" ca="1" si="39"/>
        <v>0.41385393965954309</v>
      </c>
      <c r="L657">
        <f t="shared" ca="1" si="40"/>
        <v>0.12180934258675657</v>
      </c>
      <c r="M657">
        <f t="shared" ca="1" si="41"/>
        <v>151.53534534807588</v>
      </c>
    </row>
    <row r="658" spans="9:13" x14ac:dyDescent="0.25">
      <c r="I658">
        <v>598</v>
      </c>
      <c r="J658">
        <f t="shared" ca="1" si="38"/>
        <v>9.1225688239993288E-2</v>
      </c>
      <c r="K658">
        <f t="shared" ca="1" si="39"/>
        <v>0.4633147236233609</v>
      </c>
      <c r="L658">
        <f t="shared" ca="1" si="40"/>
        <v>0.10535547372409196</v>
      </c>
      <c r="M658">
        <f t="shared" ca="1" si="41"/>
        <v>226.2495766774822</v>
      </c>
    </row>
    <row r="659" spans="9:13" x14ac:dyDescent="0.25">
      <c r="I659">
        <v>599</v>
      </c>
      <c r="J659">
        <f t="shared" ca="1" si="38"/>
        <v>4.9147877787872524E-2</v>
      </c>
      <c r="K659">
        <f t="shared" ca="1" si="39"/>
        <v>0.43471365641784815</v>
      </c>
      <c r="L659">
        <f t="shared" ca="1" si="40"/>
        <v>0.10947951631206779</v>
      </c>
      <c r="M659">
        <f t="shared" ca="1" si="41"/>
        <v>165.58340719856858</v>
      </c>
    </row>
    <row r="660" spans="9:13" x14ac:dyDescent="0.25">
      <c r="I660">
        <v>600</v>
      </c>
      <c r="J660">
        <f t="shared" ca="1" si="38"/>
        <v>7.8951237901839097E-2</v>
      </c>
      <c r="K660">
        <f t="shared" ca="1" si="39"/>
        <v>0.40996580937019672</v>
      </c>
      <c r="L660">
        <f t="shared" ca="1" si="40"/>
        <v>0.10214643132698924</v>
      </c>
      <c r="M660">
        <f t="shared" ca="1" si="41"/>
        <v>196.73852981448744</v>
      </c>
    </row>
    <row r="661" spans="9:13" x14ac:dyDescent="0.25">
      <c r="I661">
        <v>601</v>
      </c>
      <c r="J661">
        <f t="shared" ca="1" si="38"/>
        <v>8.6489118543662633E-2</v>
      </c>
      <c r="K661">
        <f t="shared" ca="1" si="39"/>
        <v>0.40055679775548914</v>
      </c>
      <c r="L661">
        <f t="shared" ca="1" si="40"/>
        <v>0.12655901451278212</v>
      </c>
      <c r="M661">
        <f t="shared" ca="1" si="41"/>
        <v>151.48407331043285</v>
      </c>
    </row>
    <row r="662" spans="9:13" x14ac:dyDescent="0.25">
      <c r="I662">
        <v>602</v>
      </c>
      <c r="J662">
        <f t="shared" ca="1" si="38"/>
        <v>9.2297412587699551E-2</v>
      </c>
      <c r="K662">
        <f t="shared" ca="1" si="39"/>
        <v>0.44486042637995998</v>
      </c>
      <c r="L662">
        <f t="shared" ca="1" si="40"/>
        <v>0.10177228198485236</v>
      </c>
      <c r="M662">
        <f t="shared" ca="1" si="41"/>
        <v>228.35981982071186</v>
      </c>
    </row>
    <row r="663" spans="9:13" x14ac:dyDescent="0.25">
      <c r="I663">
        <v>603</v>
      </c>
      <c r="J663">
        <f t="shared" ca="1" si="38"/>
        <v>0.13205651172679406</v>
      </c>
      <c r="K663">
        <f t="shared" ca="1" si="39"/>
        <v>0.42341367421694476</v>
      </c>
      <c r="L663">
        <f t="shared" ca="1" si="40"/>
        <v>0.10677821813260857</v>
      </c>
      <c r="M663">
        <f t="shared" ca="1" si="41"/>
        <v>244.31853773184241</v>
      </c>
    </row>
    <row r="664" spans="9:13" x14ac:dyDescent="0.25">
      <c r="I664">
        <v>604</v>
      </c>
      <c r="J664">
        <f t="shared" ca="1" si="38"/>
        <v>4.7774698132032514E-2</v>
      </c>
      <c r="K664">
        <f t="shared" ca="1" si="39"/>
        <v>0.47666195364419361</v>
      </c>
      <c r="L664">
        <f t="shared" ca="1" si="40"/>
        <v>9.765722287489903E-2</v>
      </c>
      <c r="M664">
        <f t="shared" ca="1" si="41"/>
        <v>209.68588014177377</v>
      </c>
    </row>
    <row r="665" spans="9:13" x14ac:dyDescent="0.25">
      <c r="I665">
        <v>605</v>
      </c>
      <c r="J665">
        <f t="shared" ca="1" si="38"/>
        <v>0.10951735253471698</v>
      </c>
      <c r="K665">
        <f t="shared" ca="1" si="39"/>
        <v>0.43205152010845027</v>
      </c>
      <c r="L665">
        <f t="shared" ca="1" si="40"/>
        <v>9.6721011124993789E-2</v>
      </c>
      <c r="M665">
        <f t="shared" ca="1" si="41"/>
        <v>256.6690338100795</v>
      </c>
    </row>
    <row r="666" spans="9:13" x14ac:dyDescent="0.25">
      <c r="I666">
        <v>606</v>
      </c>
      <c r="J666">
        <f t="shared" ca="1" si="38"/>
        <v>9.4203378021756545E-2</v>
      </c>
      <c r="K666">
        <f t="shared" ca="1" si="39"/>
        <v>0.43421792473695409</v>
      </c>
      <c r="L666">
        <f t="shared" ca="1" si="40"/>
        <v>9.9212241942075605E-2</v>
      </c>
      <c r="M666">
        <f t="shared" ca="1" si="41"/>
        <v>232.5223660744619</v>
      </c>
    </row>
    <row r="667" spans="9:13" x14ac:dyDescent="0.25">
      <c r="I667">
        <v>607</v>
      </c>
      <c r="J667">
        <f t="shared" ca="1" si="38"/>
        <v>9.0374476102610887E-2</v>
      </c>
      <c r="K667">
        <f t="shared" ca="1" si="39"/>
        <v>0.42962579983907195</v>
      </c>
      <c r="L667">
        <f t="shared" ca="1" si="40"/>
        <v>0.10930972055502843</v>
      </c>
      <c r="M667">
        <f t="shared" ca="1" si="41"/>
        <v>199.13541524908095</v>
      </c>
    </row>
    <row r="668" spans="9:13" x14ac:dyDescent="0.25">
      <c r="I668">
        <v>608</v>
      </c>
      <c r="J668">
        <f t="shared" ca="1" si="38"/>
        <v>8.5679866595879145E-2</v>
      </c>
      <c r="K668">
        <f t="shared" ca="1" si="39"/>
        <v>0.37408428948583283</v>
      </c>
      <c r="L668">
        <f t="shared" ca="1" si="40"/>
        <v>0.11888699512244176</v>
      </c>
      <c r="M668">
        <f t="shared" ca="1" si="41"/>
        <v>152.27180432110569</v>
      </c>
    </row>
    <row r="669" spans="9:13" x14ac:dyDescent="0.25">
      <c r="I669">
        <v>609</v>
      </c>
      <c r="J669">
        <f t="shared" ca="1" si="38"/>
        <v>7.3211540169435402E-2</v>
      </c>
      <c r="K669">
        <f t="shared" ca="1" si="39"/>
        <v>0.48394838348607622</v>
      </c>
      <c r="L669">
        <f t="shared" ca="1" si="40"/>
        <v>0.10441031061578136</v>
      </c>
      <c r="M669">
        <f t="shared" ca="1" si="41"/>
        <v>219.95923117785765</v>
      </c>
    </row>
    <row r="670" spans="9:13" x14ac:dyDescent="0.25">
      <c r="I670">
        <v>610</v>
      </c>
      <c r="J670">
        <f t="shared" ca="1" si="38"/>
        <v>0.12603762857351603</v>
      </c>
      <c r="K670">
        <f t="shared" ca="1" si="39"/>
        <v>0.40547992573240149</v>
      </c>
      <c r="L670">
        <f t="shared" ca="1" si="40"/>
        <v>0.11334471682650306</v>
      </c>
      <c r="M670">
        <f t="shared" ca="1" si="41"/>
        <v>210.91816942733385</v>
      </c>
    </row>
    <row r="671" spans="9:13" x14ac:dyDescent="0.25">
      <c r="I671">
        <v>611</v>
      </c>
      <c r="J671">
        <f t="shared" ca="1" si="38"/>
        <v>9.2669044622112895E-2</v>
      </c>
      <c r="K671">
        <f t="shared" ca="1" si="39"/>
        <v>0.46383063920953388</v>
      </c>
      <c r="L671">
        <f t="shared" ca="1" si="40"/>
        <v>0.10588126856728715</v>
      </c>
      <c r="M671">
        <f t="shared" ca="1" si="41"/>
        <v>226.54500252335797</v>
      </c>
    </row>
    <row r="672" spans="9:13" x14ac:dyDescent="0.25">
      <c r="I672">
        <v>612</v>
      </c>
      <c r="J672">
        <f t="shared" ca="1" si="38"/>
        <v>3.9790216609290156E-2</v>
      </c>
      <c r="K672">
        <f t="shared" ca="1" si="39"/>
        <v>0.37244604305776302</v>
      </c>
      <c r="L672">
        <f t="shared" ca="1" si="40"/>
        <v>0.10811840389402624</v>
      </c>
      <c r="M672">
        <f t="shared" ca="1" si="41"/>
        <v>137.57458843050969</v>
      </c>
    </row>
    <row r="673" spans="9:13" x14ac:dyDescent="0.25">
      <c r="I673">
        <v>613</v>
      </c>
      <c r="J673">
        <f t="shared" ca="1" si="38"/>
        <v>6.2624555591722461E-2</v>
      </c>
      <c r="K673">
        <f t="shared" ca="1" si="39"/>
        <v>0.48205962334772273</v>
      </c>
      <c r="L673">
        <f t="shared" ca="1" si="40"/>
        <v>0.10239651443139573</v>
      </c>
      <c r="M673">
        <f t="shared" ca="1" si="41"/>
        <v>213.80720610657403</v>
      </c>
    </row>
    <row r="674" spans="9:13" x14ac:dyDescent="0.25">
      <c r="I674">
        <v>614</v>
      </c>
      <c r="J674">
        <f t="shared" ca="1" si="38"/>
        <v>0.11444189198380017</v>
      </c>
      <c r="K674">
        <f t="shared" ca="1" si="39"/>
        <v>0.4648039031419125</v>
      </c>
      <c r="L674">
        <f t="shared" ca="1" si="40"/>
        <v>0.13420919904759002</v>
      </c>
      <c r="M674">
        <f t="shared" ca="1" si="41"/>
        <v>186.19974355290572</v>
      </c>
    </row>
    <row r="675" spans="9:13" x14ac:dyDescent="0.25">
      <c r="I675">
        <v>615</v>
      </c>
      <c r="J675">
        <f t="shared" ca="1" si="38"/>
        <v>8.6340015486720503E-2</v>
      </c>
      <c r="K675">
        <f t="shared" ca="1" si="39"/>
        <v>0.40028205270585315</v>
      </c>
      <c r="L675">
        <f t="shared" ca="1" si="40"/>
        <v>9.4407266427780495E-2</v>
      </c>
      <c r="M675">
        <f t="shared" ca="1" si="41"/>
        <v>220.79225978802342</v>
      </c>
    </row>
    <row r="676" spans="9:13" x14ac:dyDescent="0.25">
      <c r="I676">
        <v>616</v>
      </c>
      <c r="J676">
        <f t="shared" ca="1" si="38"/>
        <v>7.1476042803787554E-2</v>
      </c>
      <c r="K676">
        <f t="shared" ca="1" si="39"/>
        <v>0.45604998137829028</v>
      </c>
      <c r="L676">
        <f t="shared" ca="1" si="40"/>
        <v>0.11449811292139216</v>
      </c>
      <c r="M676">
        <f t="shared" ca="1" si="41"/>
        <v>182.49870147482298</v>
      </c>
    </row>
    <row r="677" spans="9:13" x14ac:dyDescent="0.25">
      <c r="I677">
        <v>617</v>
      </c>
      <c r="J677">
        <f t="shared" ca="1" si="38"/>
        <v>-5.2091653702937973E-3</v>
      </c>
      <c r="K677">
        <f t="shared" ca="1" si="39"/>
        <v>0.43515220768666241</v>
      </c>
      <c r="L677">
        <f t="shared" ca="1" si="40"/>
        <v>0.10892356682040062</v>
      </c>
      <c r="M677">
        <f t="shared" ca="1" si="41"/>
        <v>127.50732791092162</v>
      </c>
    </row>
    <row r="678" spans="9:13" x14ac:dyDescent="0.25">
      <c r="I678">
        <v>618</v>
      </c>
      <c r="J678">
        <f t="shared" ca="1" si="38"/>
        <v>0.13540816200235023</v>
      </c>
      <c r="K678">
        <f t="shared" ca="1" si="39"/>
        <v>0.40091246858017748</v>
      </c>
      <c r="L678">
        <f t="shared" ca="1" si="40"/>
        <v>0.10716918256707049</v>
      </c>
      <c r="M678">
        <f t="shared" ca="1" si="41"/>
        <v>233.61072646572802</v>
      </c>
    </row>
    <row r="679" spans="9:13" x14ac:dyDescent="0.25">
      <c r="I679">
        <v>619</v>
      </c>
      <c r="J679">
        <f t="shared" ca="1" si="38"/>
        <v>6.5428204388801647E-2</v>
      </c>
      <c r="K679">
        <f t="shared" ca="1" si="39"/>
        <v>0.46655746869724291</v>
      </c>
      <c r="L679">
        <f t="shared" ca="1" si="40"/>
        <v>0.10500362012186108</v>
      </c>
      <c r="M679">
        <f t="shared" ca="1" si="41"/>
        <v>202.86031929879368</v>
      </c>
    </row>
    <row r="680" spans="9:13" x14ac:dyDescent="0.25">
      <c r="I680">
        <v>620</v>
      </c>
      <c r="J680">
        <f t="shared" ca="1" si="38"/>
        <v>0.11211913911110552</v>
      </c>
      <c r="K680">
        <f t="shared" ca="1" si="39"/>
        <v>0.45483567676983994</v>
      </c>
      <c r="L680">
        <f t="shared" ca="1" si="40"/>
        <v>0.11049512476658921</v>
      </c>
      <c r="M680">
        <f t="shared" ca="1" si="41"/>
        <v>229.75956973588788</v>
      </c>
    </row>
    <row r="681" spans="9:13" x14ac:dyDescent="0.25">
      <c r="I681">
        <v>621</v>
      </c>
      <c r="J681">
        <f t="shared" ca="1" si="38"/>
        <v>8.4896533952290659E-2</v>
      </c>
      <c r="K681">
        <f t="shared" ca="1" si="39"/>
        <v>0.44510221096086683</v>
      </c>
      <c r="L681">
        <f t="shared" ca="1" si="40"/>
        <v>0.12409224284345495</v>
      </c>
      <c r="M681">
        <f t="shared" ca="1" si="41"/>
        <v>171.39302731833146</v>
      </c>
    </row>
    <row r="682" spans="9:13" x14ac:dyDescent="0.25">
      <c r="I682">
        <v>622</v>
      </c>
      <c r="J682">
        <f t="shared" ca="1" si="38"/>
        <v>6.7073948120545263E-2</v>
      </c>
      <c r="K682">
        <f t="shared" ca="1" si="39"/>
        <v>0.46076218564986804</v>
      </c>
      <c r="L682">
        <f t="shared" ca="1" si="40"/>
        <v>0.11509563950826124</v>
      </c>
      <c r="M682">
        <f t="shared" ca="1" si="41"/>
        <v>179.42240136402103</v>
      </c>
    </row>
    <row r="683" spans="9:13" x14ac:dyDescent="0.25">
      <c r="I683">
        <v>623</v>
      </c>
      <c r="J683">
        <f t="shared" ca="1" si="38"/>
        <v>9.2119620388933912E-2</v>
      </c>
      <c r="K683">
        <f t="shared" ca="1" si="39"/>
        <v>0.44168435152141111</v>
      </c>
      <c r="L683">
        <f t="shared" ca="1" si="40"/>
        <v>0.11134110699481324</v>
      </c>
      <c r="M683">
        <f t="shared" ca="1" si="41"/>
        <v>201.60568256944427</v>
      </c>
    </row>
    <row r="684" spans="9:13" x14ac:dyDescent="0.25">
      <c r="I684">
        <v>624</v>
      </c>
      <c r="J684">
        <f t="shared" ca="1" si="38"/>
        <v>9.1927654611113976E-2</v>
      </c>
      <c r="K684">
        <f t="shared" ca="1" si="39"/>
        <v>0.4627037332698305</v>
      </c>
      <c r="L684">
        <f t="shared" ca="1" si="40"/>
        <v>0.11398976626623758</v>
      </c>
      <c r="M684">
        <f t="shared" ca="1" si="41"/>
        <v>204.85540548091001</v>
      </c>
    </row>
    <row r="685" spans="9:13" x14ac:dyDescent="0.25">
      <c r="I685">
        <v>625</v>
      </c>
      <c r="J685">
        <f t="shared" ca="1" si="38"/>
        <v>0.11440867130021952</v>
      </c>
      <c r="K685">
        <f t="shared" ca="1" si="39"/>
        <v>0.42465715959072192</v>
      </c>
      <c r="L685">
        <f t="shared" ca="1" si="40"/>
        <v>0.10790566512081053</v>
      </c>
      <c r="M685">
        <f t="shared" ca="1" si="41"/>
        <v>223.3537911469588</v>
      </c>
    </row>
    <row r="686" spans="9:13" x14ac:dyDescent="0.25">
      <c r="I686">
        <v>626</v>
      </c>
      <c r="J686">
        <f t="shared" ca="1" si="38"/>
        <v>0.10375547260688961</v>
      </c>
      <c r="K686">
        <f t="shared" ca="1" si="39"/>
        <v>0.4219615231237292</v>
      </c>
      <c r="L686">
        <f t="shared" ca="1" si="40"/>
        <v>9.158946956722977E-2</v>
      </c>
      <c r="M686">
        <f t="shared" ca="1" si="41"/>
        <v>262.83497434537475</v>
      </c>
    </row>
    <row r="687" spans="9:13" x14ac:dyDescent="0.25">
      <c r="I687">
        <v>627</v>
      </c>
      <c r="J687">
        <f t="shared" ca="1" si="38"/>
        <v>0.10294356775227193</v>
      </c>
      <c r="K687">
        <f t="shared" ca="1" si="39"/>
        <v>0.45575657976931661</v>
      </c>
      <c r="L687">
        <f t="shared" ca="1" si="40"/>
        <v>0.11042515133628496</v>
      </c>
      <c r="M687">
        <f t="shared" ca="1" si="41"/>
        <v>221.0014037761365</v>
      </c>
    </row>
    <row r="688" spans="9:13" x14ac:dyDescent="0.25">
      <c r="I688">
        <v>628</v>
      </c>
      <c r="J688">
        <f t="shared" ca="1" si="38"/>
        <v>0.10276480809804282</v>
      </c>
      <c r="K688">
        <f t="shared" ca="1" si="39"/>
        <v>0.42908817864568383</v>
      </c>
      <c r="L688">
        <f t="shared" ca="1" si="40"/>
        <v>0.10593097162700531</v>
      </c>
      <c r="M688">
        <f t="shared" ca="1" si="41"/>
        <v>219.25548080542276</v>
      </c>
    </row>
    <row r="689" spans="9:13" x14ac:dyDescent="0.25">
      <c r="I689">
        <v>629</v>
      </c>
      <c r="J689">
        <f t="shared" ca="1" si="38"/>
        <v>4.6117353191494695E-2</v>
      </c>
      <c r="K689">
        <f t="shared" ca="1" si="39"/>
        <v>0.46649837954109208</v>
      </c>
      <c r="L689">
        <f t="shared" ca="1" si="40"/>
        <v>9.6645898117722673E-2</v>
      </c>
      <c r="M689">
        <f t="shared" ca="1" si="41"/>
        <v>206.40714122646384</v>
      </c>
    </row>
    <row r="690" spans="9:13" x14ac:dyDescent="0.25">
      <c r="I690">
        <v>630</v>
      </c>
      <c r="J690">
        <f t="shared" ca="1" si="38"/>
        <v>9.9543709165738362E-2</v>
      </c>
      <c r="K690">
        <f t="shared" ca="1" si="39"/>
        <v>0.50125972523009155</v>
      </c>
      <c r="L690">
        <f t="shared" ca="1" si="40"/>
        <v>9.983432550470972E-2</v>
      </c>
      <c r="M690">
        <f t="shared" ca="1" si="41"/>
        <v>273.05532392245874</v>
      </c>
    </row>
    <row r="691" spans="9:13" x14ac:dyDescent="0.25">
      <c r="I691">
        <v>631</v>
      </c>
      <c r="J691">
        <f t="shared" ca="1" si="38"/>
        <v>8.2424577369128629E-2</v>
      </c>
      <c r="K691">
        <f t="shared" ca="1" si="39"/>
        <v>0.39518285689581578</v>
      </c>
      <c r="L691">
        <f t="shared" ca="1" si="40"/>
        <v>0.11963184984177301</v>
      </c>
      <c r="M691">
        <f t="shared" ca="1" si="41"/>
        <v>157.28717505813387</v>
      </c>
    </row>
    <row r="692" spans="9:13" x14ac:dyDescent="0.25">
      <c r="I692">
        <v>632</v>
      </c>
      <c r="J692">
        <f t="shared" ca="1" si="38"/>
        <v>0.1272680579172997</v>
      </c>
      <c r="K692">
        <f t="shared" ca="1" si="39"/>
        <v>0.48601574449720858</v>
      </c>
      <c r="L692">
        <f t="shared" ca="1" si="40"/>
        <v>9.7365148663902959E-2</v>
      </c>
      <c r="M692">
        <f t="shared" ca="1" si="41"/>
        <v>310.15583507252688</v>
      </c>
    </row>
    <row r="693" spans="9:13" x14ac:dyDescent="0.25">
      <c r="I693">
        <v>633</v>
      </c>
      <c r="J693">
        <f t="shared" ca="1" si="38"/>
        <v>9.2254972238190638E-2</v>
      </c>
      <c r="K693">
        <f t="shared" ca="1" si="39"/>
        <v>0.47941499729326498</v>
      </c>
      <c r="L693">
        <f t="shared" ca="1" si="40"/>
        <v>0.10617446059271096</v>
      </c>
      <c r="M693">
        <f t="shared" ca="1" si="41"/>
        <v>232.92570668947539</v>
      </c>
    </row>
    <row r="694" spans="9:13" x14ac:dyDescent="0.25">
      <c r="I694">
        <v>634</v>
      </c>
      <c r="J694">
        <f t="shared" ca="1" si="38"/>
        <v>6.7910814971148994E-2</v>
      </c>
      <c r="K694">
        <f t="shared" ca="1" si="39"/>
        <v>0.41326120945899925</v>
      </c>
      <c r="L694">
        <f t="shared" ca="1" si="40"/>
        <v>0.10711764999388004</v>
      </c>
      <c r="M694">
        <f t="shared" ca="1" si="41"/>
        <v>176.97929123229179</v>
      </c>
    </row>
    <row r="695" spans="9:13" x14ac:dyDescent="0.25">
      <c r="I695">
        <v>635</v>
      </c>
      <c r="J695">
        <f t="shared" ca="1" si="38"/>
        <v>5.2598994803271078E-2</v>
      </c>
      <c r="K695">
        <f t="shared" ca="1" si="39"/>
        <v>0.45378604369104625</v>
      </c>
      <c r="L695">
        <f t="shared" ca="1" si="40"/>
        <v>0.11171268958539059</v>
      </c>
      <c r="M695">
        <f t="shared" ca="1" si="41"/>
        <v>171.3069467953049</v>
      </c>
    </row>
    <row r="696" spans="9:13" x14ac:dyDescent="0.25">
      <c r="I696">
        <v>636</v>
      </c>
      <c r="J696">
        <f t="shared" ca="1" si="38"/>
        <v>9.2873730416168893E-2</v>
      </c>
      <c r="K696">
        <f t="shared" ca="1" si="39"/>
        <v>0.43784758764453657</v>
      </c>
      <c r="L696">
        <f t="shared" ca="1" si="40"/>
        <v>0.10294630074469363</v>
      </c>
      <c r="M696">
        <f t="shared" ca="1" si="41"/>
        <v>221.96360422820547</v>
      </c>
    </row>
    <row r="697" spans="9:13" x14ac:dyDescent="0.25">
      <c r="I697">
        <v>637</v>
      </c>
      <c r="J697">
        <f t="shared" ca="1" si="38"/>
        <v>5.7250607708323124E-2</v>
      </c>
      <c r="K697">
        <f t="shared" ca="1" si="39"/>
        <v>0.46104883230603672</v>
      </c>
      <c r="L697">
        <f t="shared" ca="1" si="40"/>
        <v>0.11990037358144165</v>
      </c>
      <c r="M697">
        <f t="shared" ca="1" si="41"/>
        <v>162.73359485525998</v>
      </c>
    </row>
    <row r="698" spans="9:13" x14ac:dyDescent="0.25">
      <c r="I698">
        <v>638</v>
      </c>
      <c r="J698">
        <f t="shared" ca="1" si="38"/>
        <v>9.9563911000179181E-2</v>
      </c>
      <c r="K698">
        <f t="shared" ca="1" si="39"/>
        <v>0.40377597055950704</v>
      </c>
      <c r="L698">
        <f t="shared" ca="1" si="40"/>
        <v>0.1184658132852686</v>
      </c>
      <c r="M698">
        <f t="shared" ca="1" si="41"/>
        <v>176.16007517306207</v>
      </c>
    </row>
    <row r="699" spans="9:13" x14ac:dyDescent="0.25">
      <c r="I699">
        <v>639</v>
      </c>
      <c r="J699">
        <f t="shared" ca="1" si="38"/>
        <v>7.7877529226826045E-2</v>
      </c>
      <c r="K699">
        <f t="shared" ca="1" si="39"/>
        <v>0.44447747012518329</v>
      </c>
      <c r="L699">
        <f t="shared" ca="1" si="40"/>
        <v>0.10251326750444022</v>
      </c>
      <c r="M699">
        <f t="shared" ca="1" si="41"/>
        <v>211.36704827681442</v>
      </c>
    </row>
    <row r="700" spans="9:13" x14ac:dyDescent="0.25">
      <c r="I700">
        <v>640</v>
      </c>
      <c r="J700">
        <f t="shared" ca="1" si="38"/>
        <v>0.10903257769701084</v>
      </c>
      <c r="K700">
        <f t="shared" ca="1" si="39"/>
        <v>0.4078517445140718</v>
      </c>
      <c r="L700">
        <f t="shared" ca="1" si="40"/>
        <v>0.10402774565424358</v>
      </c>
      <c r="M700">
        <f t="shared" ca="1" si="41"/>
        <v>219.48278198825477</v>
      </c>
    </row>
    <row r="701" spans="9:13" x14ac:dyDescent="0.25">
      <c r="I701">
        <v>641</v>
      </c>
      <c r="J701">
        <f t="shared" ca="1" si="38"/>
        <v>0.12117693634232804</v>
      </c>
      <c r="K701">
        <f t="shared" ca="1" si="39"/>
        <v>0.46177533320963082</v>
      </c>
      <c r="L701">
        <f t="shared" ca="1" si="40"/>
        <v>0.11844406433835723</v>
      </c>
      <c r="M701">
        <f t="shared" ca="1" si="41"/>
        <v>222.51906788508023</v>
      </c>
    </row>
    <row r="702" spans="9:13" x14ac:dyDescent="0.25">
      <c r="I702">
        <v>642</v>
      </c>
      <c r="J702">
        <f t="shared" ref="J702:J765" ca="1" si="42">_xlfn.NORM.INV(RAND(),0.085,0.03)</f>
        <v>8.1221972668424305E-2</v>
      </c>
      <c r="K702">
        <f t="shared" ref="K702:K765" ca="1" si="43">_xlfn.NORM.INV(RAND(),0.435,0.03)</f>
        <v>0.42643609156622059</v>
      </c>
      <c r="L702">
        <f t="shared" ref="L702:L765" ca="1" si="44">_xlfn.NORM.INV(RAND(),0.1106,0.01)</f>
        <v>0.10469602910101503</v>
      </c>
      <c r="M702">
        <f t="shared" ref="M702:M765" ca="1" si="45">((416.161*(1+J702)^5*K702*(1-(1+L702)^-5)/L702)+(416.161*(1+J702)^5*K702*(1+0.025)/(L702-0.025)*(1+L702)^-5)-78.328+54.697)/15.02</f>
        <v>200.31121374333554</v>
      </c>
    </row>
    <row r="703" spans="9:13" x14ac:dyDescent="0.25">
      <c r="I703">
        <v>643</v>
      </c>
      <c r="J703">
        <f t="shared" ca="1" si="42"/>
        <v>0.11614178625380178</v>
      </c>
      <c r="K703">
        <f t="shared" ca="1" si="43"/>
        <v>0.39783200322244267</v>
      </c>
      <c r="L703">
        <f t="shared" ca="1" si="44"/>
        <v>0.12188531537421599</v>
      </c>
      <c r="M703">
        <f t="shared" ca="1" si="45"/>
        <v>180.59565770442654</v>
      </c>
    </row>
    <row r="704" spans="9:13" x14ac:dyDescent="0.25">
      <c r="I704">
        <v>644</v>
      </c>
      <c r="J704">
        <f t="shared" ca="1" si="42"/>
        <v>0.13707287988616859</v>
      </c>
      <c r="K704">
        <f t="shared" ca="1" si="43"/>
        <v>0.43880003083497515</v>
      </c>
      <c r="L704">
        <f t="shared" ca="1" si="44"/>
        <v>0.11417892972863133</v>
      </c>
      <c r="M704">
        <f t="shared" ca="1" si="45"/>
        <v>237.64712355405464</v>
      </c>
    </row>
    <row r="705" spans="9:13" x14ac:dyDescent="0.25">
      <c r="I705">
        <v>645</v>
      </c>
      <c r="J705">
        <f t="shared" ca="1" si="42"/>
        <v>5.8667523686166068E-2</v>
      </c>
      <c r="K705">
        <f t="shared" ca="1" si="43"/>
        <v>0.46589164378337006</v>
      </c>
      <c r="L705">
        <f t="shared" ca="1" si="44"/>
        <v>0.1114434156511686</v>
      </c>
      <c r="M705">
        <f t="shared" ca="1" si="45"/>
        <v>181.65486156376602</v>
      </c>
    </row>
    <row r="706" spans="9:13" x14ac:dyDescent="0.25">
      <c r="I706">
        <v>646</v>
      </c>
      <c r="J706">
        <f t="shared" ca="1" si="42"/>
        <v>0.10716386714703188</v>
      </c>
      <c r="K706">
        <f t="shared" ca="1" si="43"/>
        <v>0.42686168490400039</v>
      </c>
      <c r="L706">
        <f t="shared" ca="1" si="44"/>
        <v>0.10663089926920404</v>
      </c>
      <c r="M706">
        <f t="shared" ca="1" si="45"/>
        <v>220.63323485203827</v>
      </c>
    </row>
    <row r="707" spans="9:13" x14ac:dyDescent="0.25">
      <c r="I707">
        <v>647</v>
      </c>
      <c r="J707">
        <f t="shared" ca="1" si="42"/>
        <v>0.12099859388445389</v>
      </c>
      <c r="K707">
        <f t="shared" ca="1" si="43"/>
        <v>0.3844370034290005</v>
      </c>
      <c r="L707">
        <f t="shared" ca="1" si="44"/>
        <v>9.8695281284389966E-2</v>
      </c>
      <c r="M707">
        <f t="shared" ca="1" si="45"/>
        <v>233.95319595352927</v>
      </c>
    </row>
    <row r="708" spans="9:13" x14ac:dyDescent="0.25">
      <c r="I708">
        <v>648</v>
      </c>
      <c r="J708">
        <f t="shared" ca="1" si="42"/>
        <v>7.0353284347740352E-2</v>
      </c>
      <c r="K708">
        <f t="shared" ca="1" si="43"/>
        <v>0.47599089560468066</v>
      </c>
      <c r="L708">
        <f t="shared" ca="1" si="44"/>
        <v>0.10268329505242817</v>
      </c>
      <c r="M708">
        <f t="shared" ca="1" si="45"/>
        <v>218.14059548820907</v>
      </c>
    </row>
    <row r="709" spans="9:13" x14ac:dyDescent="0.25">
      <c r="I709">
        <v>649</v>
      </c>
      <c r="J709">
        <f t="shared" ca="1" si="42"/>
        <v>9.3548697796289562E-2</v>
      </c>
      <c r="K709">
        <f t="shared" ca="1" si="43"/>
        <v>0.43904101725842659</v>
      </c>
      <c r="L709">
        <f t="shared" ca="1" si="44"/>
        <v>0.10156932143306799</v>
      </c>
      <c r="M709">
        <f t="shared" ca="1" si="45"/>
        <v>227.25108287289117</v>
      </c>
    </row>
    <row r="710" spans="9:13" x14ac:dyDescent="0.25">
      <c r="I710">
        <v>650</v>
      </c>
      <c r="J710">
        <f t="shared" ca="1" si="42"/>
        <v>6.2995131317749212E-2</v>
      </c>
      <c r="K710">
        <f t="shared" ca="1" si="43"/>
        <v>0.3860227967301359</v>
      </c>
      <c r="L710">
        <f t="shared" ca="1" si="44"/>
        <v>0.10111014839145117</v>
      </c>
      <c r="M710">
        <f t="shared" ca="1" si="45"/>
        <v>174.0779138099756</v>
      </c>
    </row>
    <row r="711" spans="9:13" x14ac:dyDescent="0.25">
      <c r="I711">
        <v>651</v>
      </c>
      <c r="J711">
        <f t="shared" ca="1" si="42"/>
        <v>0.12873264007157534</v>
      </c>
      <c r="K711">
        <f t="shared" ca="1" si="43"/>
        <v>0.43827371718133112</v>
      </c>
      <c r="L711">
        <f t="shared" ca="1" si="44"/>
        <v>0.11416965596023883</v>
      </c>
      <c r="M711">
        <f t="shared" ca="1" si="45"/>
        <v>228.74868680211296</v>
      </c>
    </row>
    <row r="712" spans="9:13" x14ac:dyDescent="0.25">
      <c r="I712">
        <v>652</v>
      </c>
      <c r="J712">
        <f t="shared" ca="1" si="42"/>
        <v>0.11790903620172416</v>
      </c>
      <c r="K712">
        <f t="shared" ca="1" si="43"/>
        <v>0.45370814840707979</v>
      </c>
      <c r="L712">
        <f t="shared" ca="1" si="44"/>
        <v>0.10576974906775875</v>
      </c>
      <c r="M712">
        <f t="shared" ca="1" si="45"/>
        <v>248.89732690794594</v>
      </c>
    </row>
    <row r="713" spans="9:13" x14ac:dyDescent="0.25">
      <c r="I713">
        <v>653</v>
      </c>
      <c r="J713">
        <f t="shared" ca="1" si="42"/>
        <v>0.10057066849276186</v>
      </c>
      <c r="K713">
        <f t="shared" ca="1" si="43"/>
        <v>0.47604385137106209</v>
      </c>
      <c r="L713">
        <f t="shared" ca="1" si="44"/>
        <v>0.10140383258815525</v>
      </c>
      <c r="M713">
        <f t="shared" ca="1" si="45"/>
        <v>255.15251090234216</v>
      </c>
    </row>
    <row r="714" spans="9:13" x14ac:dyDescent="0.25">
      <c r="I714">
        <v>654</v>
      </c>
      <c r="J714">
        <f t="shared" ca="1" si="42"/>
        <v>5.5896205396676509E-2</v>
      </c>
      <c r="K714">
        <f t="shared" ca="1" si="43"/>
        <v>0.41347982978004472</v>
      </c>
      <c r="L714">
        <f t="shared" ca="1" si="44"/>
        <v>0.11759715703324214</v>
      </c>
      <c r="M714">
        <f t="shared" ca="1" si="45"/>
        <v>148.42142343739667</v>
      </c>
    </row>
    <row r="715" spans="9:13" x14ac:dyDescent="0.25">
      <c r="I715">
        <v>655</v>
      </c>
      <c r="J715">
        <f t="shared" ca="1" si="42"/>
        <v>0.10092278695680415</v>
      </c>
      <c r="K715">
        <f t="shared" ca="1" si="43"/>
        <v>0.40939104205401305</v>
      </c>
      <c r="L715">
        <f t="shared" ca="1" si="44"/>
        <v>0.12385015160374281</v>
      </c>
      <c r="M715">
        <f t="shared" ca="1" si="45"/>
        <v>170.03062881997354</v>
      </c>
    </row>
    <row r="716" spans="9:13" x14ac:dyDescent="0.25">
      <c r="I716">
        <v>656</v>
      </c>
      <c r="J716">
        <f t="shared" ca="1" si="42"/>
        <v>5.3805270566756394E-2</v>
      </c>
      <c r="K716">
        <f t="shared" ca="1" si="43"/>
        <v>0.46745230194009219</v>
      </c>
      <c r="L716">
        <f t="shared" ca="1" si="44"/>
        <v>8.5205340807600949E-2</v>
      </c>
      <c r="M716">
        <f t="shared" ca="1" si="45"/>
        <v>255.11607297622743</v>
      </c>
    </row>
    <row r="717" spans="9:13" x14ac:dyDescent="0.25">
      <c r="I717">
        <v>657</v>
      </c>
      <c r="J717">
        <f t="shared" ca="1" si="42"/>
        <v>9.47284595689937E-2</v>
      </c>
      <c r="K717">
        <f t="shared" ca="1" si="43"/>
        <v>0.41401730603979525</v>
      </c>
      <c r="L717">
        <f t="shared" ca="1" si="44"/>
        <v>0.11610059862162962</v>
      </c>
      <c r="M717">
        <f t="shared" ca="1" si="45"/>
        <v>181.24879590799438</v>
      </c>
    </row>
    <row r="718" spans="9:13" x14ac:dyDescent="0.25">
      <c r="I718">
        <v>658</v>
      </c>
      <c r="J718">
        <f t="shared" ca="1" si="42"/>
        <v>0.14912030930955805</v>
      </c>
      <c r="K718">
        <f t="shared" ca="1" si="43"/>
        <v>0.46398404740640131</v>
      </c>
      <c r="L718">
        <f t="shared" ca="1" si="44"/>
        <v>0.12940243982213939</v>
      </c>
      <c r="M718">
        <f t="shared" ca="1" si="45"/>
        <v>226.78103287898728</v>
      </c>
    </row>
    <row r="719" spans="9:13" x14ac:dyDescent="0.25">
      <c r="I719">
        <v>659</v>
      </c>
      <c r="J719">
        <f t="shared" ca="1" si="42"/>
        <v>0.13397322290836572</v>
      </c>
      <c r="K719">
        <f t="shared" ca="1" si="43"/>
        <v>0.43099339330862074</v>
      </c>
      <c r="L719">
        <f t="shared" ca="1" si="44"/>
        <v>0.11848720976394526</v>
      </c>
      <c r="M719">
        <f t="shared" ca="1" si="45"/>
        <v>219.69181696630903</v>
      </c>
    </row>
    <row r="720" spans="9:13" x14ac:dyDescent="0.25">
      <c r="I720">
        <v>660</v>
      </c>
      <c r="J720">
        <f t="shared" ca="1" si="42"/>
        <v>7.6478220077281722E-2</v>
      </c>
      <c r="K720">
        <f t="shared" ca="1" si="43"/>
        <v>0.45603036236539346</v>
      </c>
      <c r="L720">
        <f t="shared" ca="1" si="44"/>
        <v>0.10046658633693517</v>
      </c>
      <c r="M720">
        <f t="shared" ca="1" si="45"/>
        <v>221.28959396283372</v>
      </c>
    </row>
    <row r="721" spans="9:13" x14ac:dyDescent="0.25">
      <c r="I721">
        <v>661</v>
      </c>
      <c r="J721">
        <f t="shared" ca="1" si="42"/>
        <v>3.2730280889246066E-2</v>
      </c>
      <c r="K721">
        <f t="shared" ca="1" si="43"/>
        <v>0.4099744837120412</v>
      </c>
      <c r="L721">
        <f t="shared" ca="1" si="44"/>
        <v>0.10842080243980108</v>
      </c>
      <c r="M721">
        <f t="shared" ca="1" si="45"/>
        <v>145.93707449151611</v>
      </c>
    </row>
    <row r="722" spans="9:13" x14ac:dyDescent="0.25">
      <c r="I722">
        <v>662</v>
      </c>
      <c r="J722">
        <f t="shared" ca="1" si="42"/>
        <v>9.0609484791464232E-2</v>
      </c>
      <c r="K722">
        <f t="shared" ca="1" si="43"/>
        <v>0.46732309959363783</v>
      </c>
      <c r="L722">
        <f t="shared" ca="1" si="44"/>
        <v>0.10598254952065592</v>
      </c>
      <c r="M722">
        <f t="shared" ca="1" si="45"/>
        <v>225.82416811286299</v>
      </c>
    </row>
    <row r="723" spans="9:13" x14ac:dyDescent="0.25">
      <c r="I723">
        <v>663</v>
      </c>
      <c r="J723">
        <f t="shared" ca="1" si="42"/>
        <v>5.3348810676926109E-2</v>
      </c>
      <c r="K723">
        <f t="shared" ca="1" si="43"/>
        <v>0.48834737360482022</v>
      </c>
      <c r="L723">
        <f t="shared" ca="1" si="44"/>
        <v>0.1068821964803352</v>
      </c>
      <c r="M723">
        <f t="shared" ca="1" si="45"/>
        <v>195.9803056818152</v>
      </c>
    </row>
    <row r="724" spans="9:13" x14ac:dyDescent="0.25">
      <c r="I724">
        <v>664</v>
      </c>
      <c r="J724">
        <f t="shared" ca="1" si="42"/>
        <v>9.076821100569489E-2</v>
      </c>
      <c r="K724">
        <f t="shared" ca="1" si="43"/>
        <v>0.44631888142331599</v>
      </c>
      <c r="L724">
        <f t="shared" ca="1" si="44"/>
        <v>8.4902997364902366E-2</v>
      </c>
      <c r="M724">
        <f t="shared" ca="1" si="45"/>
        <v>291.06890572408156</v>
      </c>
    </row>
    <row r="725" spans="9:13" x14ac:dyDescent="0.25">
      <c r="I725">
        <v>665</v>
      </c>
      <c r="J725">
        <f t="shared" ca="1" si="42"/>
        <v>5.7944422146126912E-2</v>
      </c>
      <c r="K725">
        <f t="shared" ca="1" si="43"/>
        <v>0.43448382461957769</v>
      </c>
      <c r="L725">
        <f t="shared" ca="1" si="44"/>
        <v>0.13469651654389458</v>
      </c>
      <c r="M725">
        <f t="shared" ca="1" si="45"/>
        <v>133.15702695944074</v>
      </c>
    </row>
    <row r="726" spans="9:13" x14ac:dyDescent="0.25">
      <c r="I726">
        <v>666</v>
      </c>
      <c r="J726">
        <f t="shared" ca="1" si="42"/>
        <v>0.1045129646301588</v>
      </c>
      <c r="K726">
        <f t="shared" ca="1" si="43"/>
        <v>0.42369404731830518</v>
      </c>
      <c r="L726">
        <f t="shared" ca="1" si="44"/>
        <v>0.11869664343554158</v>
      </c>
      <c r="M726">
        <f t="shared" ca="1" si="45"/>
        <v>188.70040728760543</v>
      </c>
    </row>
    <row r="727" spans="9:13" x14ac:dyDescent="0.25">
      <c r="I727">
        <v>667</v>
      </c>
      <c r="J727">
        <f t="shared" ca="1" si="42"/>
        <v>0.1041685574072137</v>
      </c>
      <c r="K727">
        <f t="shared" ca="1" si="43"/>
        <v>0.39786622692533286</v>
      </c>
      <c r="L727">
        <f t="shared" ca="1" si="44"/>
        <v>0.10863919350201177</v>
      </c>
      <c r="M727">
        <f t="shared" ca="1" si="45"/>
        <v>197.91929734208503</v>
      </c>
    </row>
    <row r="728" spans="9:13" x14ac:dyDescent="0.25">
      <c r="I728">
        <v>668</v>
      </c>
      <c r="J728">
        <f t="shared" ca="1" si="42"/>
        <v>5.6703641195749901E-2</v>
      </c>
      <c r="K728">
        <f t="shared" ca="1" si="43"/>
        <v>0.39577607369787476</v>
      </c>
      <c r="L728">
        <f t="shared" ca="1" si="44"/>
        <v>0.10903515164992852</v>
      </c>
      <c r="M728">
        <f t="shared" ca="1" si="45"/>
        <v>156.99203025446246</v>
      </c>
    </row>
    <row r="729" spans="9:13" x14ac:dyDescent="0.25">
      <c r="I729">
        <v>669</v>
      </c>
      <c r="J729">
        <f t="shared" ca="1" si="42"/>
        <v>7.7088906143002234E-2</v>
      </c>
      <c r="K729">
        <f t="shared" ca="1" si="43"/>
        <v>0.4522396353060032</v>
      </c>
      <c r="L729">
        <f t="shared" ca="1" si="44"/>
        <v>0.11448006153156642</v>
      </c>
      <c r="M729">
        <f t="shared" ca="1" si="45"/>
        <v>185.82928309082149</v>
      </c>
    </row>
    <row r="730" spans="9:13" x14ac:dyDescent="0.25">
      <c r="I730">
        <v>670</v>
      </c>
      <c r="J730">
        <f t="shared" ca="1" si="42"/>
        <v>-6.7755965321230904E-3</v>
      </c>
      <c r="K730">
        <f t="shared" ca="1" si="43"/>
        <v>0.47394929023717014</v>
      </c>
      <c r="L730">
        <f t="shared" ca="1" si="44"/>
        <v>0.10728597120893826</v>
      </c>
      <c r="M730">
        <f t="shared" ca="1" si="45"/>
        <v>140.64626559719923</v>
      </c>
    </row>
    <row r="731" spans="9:13" x14ac:dyDescent="0.25">
      <c r="I731">
        <v>671</v>
      </c>
      <c r="J731">
        <f t="shared" ca="1" si="42"/>
        <v>8.1403225677931623E-2</v>
      </c>
      <c r="K731">
        <f t="shared" ca="1" si="43"/>
        <v>0.47352659876032988</v>
      </c>
      <c r="L731">
        <f t="shared" ca="1" si="44"/>
        <v>0.10902624462805496</v>
      </c>
      <c r="M731">
        <f t="shared" ca="1" si="45"/>
        <v>211.39781379957685</v>
      </c>
    </row>
    <row r="732" spans="9:13" x14ac:dyDescent="0.25">
      <c r="I732">
        <v>672</v>
      </c>
      <c r="J732">
        <f t="shared" ca="1" si="42"/>
        <v>9.3214317501595062E-2</v>
      </c>
      <c r="K732">
        <f t="shared" ca="1" si="43"/>
        <v>0.44266651885468006</v>
      </c>
      <c r="L732">
        <f t="shared" ca="1" si="44"/>
        <v>0.10411778110814197</v>
      </c>
      <c r="M732">
        <f t="shared" ca="1" si="45"/>
        <v>221.47274425999441</v>
      </c>
    </row>
    <row r="733" spans="9:13" x14ac:dyDescent="0.25">
      <c r="I733">
        <v>673</v>
      </c>
      <c r="J733">
        <f t="shared" ca="1" si="42"/>
        <v>5.2489175921936276E-2</v>
      </c>
      <c r="K733">
        <f t="shared" ca="1" si="43"/>
        <v>0.42049806982300947</v>
      </c>
      <c r="L733">
        <f t="shared" ca="1" si="44"/>
        <v>0.1060156383934104</v>
      </c>
      <c r="M733">
        <f t="shared" ca="1" si="45"/>
        <v>169.62499119635433</v>
      </c>
    </row>
    <row r="734" spans="9:13" x14ac:dyDescent="0.25">
      <c r="I734">
        <v>674</v>
      </c>
      <c r="J734">
        <f t="shared" ca="1" si="42"/>
        <v>5.6736393013456968E-2</v>
      </c>
      <c r="K734">
        <f t="shared" ca="1" si="43"/>
        <v>0.43340079742977905</v>
      </c>
      <c r="L734">
        <f t="shared" ca="1" si="44"/>
        <v>0.12716856125376938</v>
      </c>
      <c r="M734">
        <f t="shared" ca="1" si="45"/>
        <v>141.7220708893114</v>
      </c>
    </row>
    <row r="735" spans="9:13" x14ac:dyDescent="0.25">
      <c r="I735">
        <v>675</v>
      </c>
      <c r="J735">
        <f t="shared" ca="1" si="42"/>
        <v>6.5865896325449008E-2</v>
      </c>
      <c r="K735">
        <f t="shared" ca="1" si="43"/>
        <v>0.47011169543902209</v>
      </c>
      <c r="L735">
        <f t="shared" ca="1" si="44"/>
        <v>0.12196615805477765</v>
      </c>
      <c r="M735">
        <f t="shared" ca="1" si="45"/>
        <v>169.24543842374294</v>
      </c>
    </row>
    <row r="736" spans="9:13" x14ac:dyDescent="0.25">
      <c r="I736">
        <v>676</v>
      </c>
      <c r="J736">
        <f t="shared" ca="1" si="42"/>
        <v>7.0410514039998706E-2</v>
      </c>
      <c r="K736">
        <f t="shared" ca="1" si="43"/>
        <v>0.4397067527349322</v>
      </c>
      <c r="L736">
        <f t="shared" ca="1" si="44"/>
        <v>0.10126459829346322</v>
      </c>
      <c r="M736">
        <f t="shared" ca="1" si="45"/>
        <v>205.16874907414592</v>
      </c>
    </row>
    <row r="737" spans="9:13" x14ac:dyDescent="0.25">
      <c r="I737">
        <v>677</v>
      </c>
      <c r="J737">
        <f t="shared" ca="1" si="42"/>
        <v>9.5036465607564583E-2</v>
      </c>
      <c r="K737">
        <f t="shared" ca="1" si="43"/>
        <v>0.44862789823014632</v>
      </c>
      <c r="L737">
        <f t="shared" ca="1" si="44"/>
        <v>0.10173879764679995</v>
      </c>
      <c r="M737">
        <f t="shared" ca="1" si="45"/>
        <v>233.33003763594388</v>
      </c>
    </row>
    <row r="738" spans="9:13" x14ac:dyDescent="0.25">
      <c r="I738">
        <v>678</v>
      </c>
      <c r="J738">
        <f t="shared" ca="1" si="42"/>
        <v>6.1895145779834376E-2</v>
      </c>
      <c r="K738">
        <f t="shared" ca="1" si="43"/>
        <v>0.42081001915432514</v>
      </c>
      <c r="L738">
        <f t="shared" ca="1" si="44"/>
        <v>0.12321804465317565</v>
      </c>
      <c r="M738">
        <f t="shared" ca="1" si="45"/>
        <v>146.62321344144817</v>
      </c>
    </row>
    <row r="739" spans="9:13" x14ac:dyDescent="0.25">
      <c r="I739">
        <v>679</v>
      </c>
      <c r="J739">
        <f t="shared" ca="1" si="42"/>
        <v>0.12301118129722827</v>
      </c>
      <c r="K739">
        <f t="shared" ca="1" si="43"/>
        <v>0.46055309780177783</v>
      </c>
      <c r="L739">
        <f t="shared" ca="1" si="44"/>
        <v>0.13296390234128772</v>
      </c>
      <c r="M739">
        <f t="shared" ca="1" si="45"/>
        <v>193.93624857703989</v>
      </c>
    </row>
    <row r="740" spans="9:13" x14ac:dyDescent="0.25">
      <c r="I740">
        <v>680</v>
      </c>
      <c r="J740">
        <f t="shared" ca="1" si="42"/>
        <v>0.12200686834561383</v>
      </c>
      <c r="K740">
        <f t="shared" ca="1" si="43"/>
        <v>0.45836384429676413</v>
      </c>
      <c r="L740">
        <f t="shared" ca="1" si="44"/>
        <v>0.11431184357297094</v>
      </c>
      <c r="M740">
        <f t="shared" ca="1" si="45"/>
        <v>231.84851041506184</v>
      </c>
    </row>
    <row r="741" spans="9:13" x14ac:dyDescent="0.25">
      <c r="I741">
        <v>681</v>
      </c>
      <c r="J741">
        <f t="shared" ca="1" si="42"/>
        <v>0.10107441812593024</v>
      </c>
      <c r="K741">
        <f t="shared" ca="1" si="43"/>
        <v>0.41486956249898344</v>
      </c>
      <c r="L741">
        <f t="shared" ca="1" si="44"/>
        <v>0.10904109351651406</v>
      </c>
      <c r="M741">
        <f t="shared" ca="1" si="45"/>
        <v>202.58045716468197</v>
      </c>
    </row>
    <row r="742" spans="9:13" x14ac:dyDescent="0.25">
      <c r="I742">
        <v>682</v>
      </c>
      <c r="J742">
        <f t="shared" ca="1" si="42"/>
        <v>0.10223166375219769</v>
      </c>
      <c r="K742">
        <f t="shared" ca="1" si="43"/>
        <v>0.41412352000187247</v>
      </c>
      <c r="L742">
        <f t="shared" ca="1" si="44"/>
        <v>0.11253477286652749</v>
      </c>
      <c r="M742">
        <f t="shared" ca="1" si="45"/>
        <v>195.23320066754755</v>
      </c>
    </row>
    <row r="743" spans="9:13" x14ac:dyDescent="0.25">
      <c r="I743">
        <v>683</v>
      </c>
      <c r="J743">
        <f t="shared" ca="1" si="42"/>
        <v>9.2959700554223382E-2</v>
      </c>
      <c r="K743">
        <f t="shared" ca="1" si="43"/>
        <v>0.45024173664833611</v>
      </c>
      <c r="L743">
        <f t="shared" ca="1" si="44"/>
        <v>0.10585573379309848</v>
      </c>
      <c r="M743">
        <f t="shared" ca="1" si="45"/>
        <v>220.22545562160283</v>
      </c>
    </row>
    <row r="744" spans="9:13" x14ac:dyDescent="0.25">
      <c r="I744">
        <v>684</v>
      </c>
      <c r="J744">
        <f t="shared" ca="1" si="42"/>
        <v>6.4556776281622791E-2</v>
      </c>
      <c r="K744">
        <f t="shared" ca="1" si="43"/>
        <v>0.45186507037701107</v>
      </c>
      <c r="L744">
        <f t="shared" ca="1" si="44"/>
        <v>0.10099912041388902</v>
      </c>
      <c r="M744">
        <f t="shared" ca="1" si="45"/>
        <v>205.85107758352459</v>
      </c>
    </row>
    <row r="745" spans="9:13" x14ac:dyDescent="0.25">
      <c r="I745">
        <v>685</v>
      </c>
      <c r="J745">
        <f t="shared" ca="1" si="42"/>
        <v>0.11278940722072305</v>
      </c>
      <c r="K745">
        <f t="shared" ca="1" si="43"/>
        <v>0.43997475091843125</v>
      </c>
      <c r="L745">
        <f t="shared" ca="1" si="44"/>
        <v>0.11983538481996411</v>
      </c>
      <c r="M745">
        <f t="shared" ca="1" si="45"/>
        <v>201.10368656269546</v>
      </c>
    </row>
    <row r="746" spans="9:13" x14ac:dyDescent="0.25">
      <c r="I746">
        <v>686</v>
      </c>
      <c r="J746">
        <f t="shared" ca="1" si="42"/>
        <v>0.12708689719689037</v>
      </c>
      <c r="K746">
        <f t="shared" ca="1" si="43"/>
        <v>0.44599877761971946</v>
      </c>
      <c r="L746">
        <f t="shared" ca="1" si="44"/>
        <v>0.10498680442208584</v>
      </c>
      <c r="M746">
        <f t="shared" ca="1" si="45"/>
        <v>257.38918609539854</v>
      </c>
    </row>
    <row r="747" spans="9:13" x14ac:dyDescent="0.25">
      <c r="I747">
        <v>687</v>
      </c>
      <c r="J747">
        <f t="shared" ca="1" si="42"/>
        <v>0.10679411081254712</v>
      </c>
      <c r="K747">
        <f t="shared" ca="1" si="43"/>
        <v>0.39535834736312619</v>
      </c>
      <c r="L747">
        <f t="shared" ca="1" si="44"/>
        <v>9.8248956161909928E-2</v>
      </c>
      <c r="M747">
        <f t="shared" ca="1" si="45"/>
        <v>227.04778381135216</v>
      </c>
    </row>
    <row r="748" spans="9:13" x14ac:dyDescent="0.25">
      <c r="I748">
        <v>688</v>
      </c>
      <c r="J748">
        <f t="shared" ca="1" si="42"/>
        <v>8.2710991943209092E-2</v>
      </c>
      <c r="K748">
        <f t="shared" ca="1" si="43"/>
        <v>0.44193223621640204</v>
      </c>
      <c r="L748">
        <f t="shared" ca="1" si="44"/>
        <v>0.11707422150826213</v>
      </c>
      <c r="M748">
        <f t="shared" ca="1" si="45"/>
        <v>181.17520301254706</v>
      </c>
    </row>
    <row r="749" spans="9:13" x14ac:dyDescent="0.25">
      <c r="I749">
        <v>689</v>
      </c>
      <c r="J749">
        <f t="shared" ca="1" si="42"/>
        <v>0.12103455264197079</v>
      </c>
      <c r="K749">
        <f t="shared" ca="1" si="43"/>
        <v>0.43502420675110431</v>
      </c>
      <c r="L749">
        <f t="shared" ca="1" si="44"/>
        <v>0.10490498414724753</v>
      </c>
      <c r="M749">
        <f t="shared" ca="1" si="45"/>
        <v>244.55558064270286</v>
      </c>
    </row>
    <row r="750" spans="9:13" x14ac:dyDescent="0.25">
      <c r="I750">
        <v>690</v>
      </c>
      <c r="J750">
        <f t="shared" ca="1" si="42"/>
        <v>9.7464020673973112E-2</v>
      </c>
      <c r="K750">
        <f t="shared" ca="1" si="43"/>
        <v>0.43778204146696059</v>
      </c>
      <c r="L750">
        <f t="shared" ca="1" si="44"/>
        <v>9.8931001313344619E-2</v>
      </c>
      <c r="M750">
        <f t="shared" ca="1" si="45"/>
        <v>238.88008582741733</v>
      </c>
    </row>
    <row r="751" spans="9:13" x14ac:dyDescent="0.25">
      <c r="I751">
        <v>691</v>
      </c>
      <c r="J751">
        <f t="shared" ca="1" si="42"/>
        <v>2.4704647848575616E-2</v>
      </c>
      <c r="K751">
        <f t="shared" ca="1" si="43"/>
        <v>0.44085979939294634</v>
      </c>
      <c r="L751">
        <f t="shared" ca="1" si="44"/>
        <v>0.105681890713492</v>
      </c>
      <c r="M751">
        <f t="shared" ca="1" si="45"/>
        <v>156.08165500558508</v>
      </c>
    </row>
    <row r="752" spans="9:13" x14ac:dyDescent="0.25">
      <c r="I752">
        <v>692</v>
      </c>
      <c r="J752">
        <f t="shared" ca="1" si="42"/>
        <v>8.3468942207162361E-2</v>
      </c>
      <c r="K752">
        <f t="shared" ca="1" si="43"/>
        <v>0.41001029345558176</v>
      </c>
      <c r="L752">
        <f t="shared" ca="1" si="44"/>
        <v>8.3598436179253138E-2</v>
      </c>
      <c r="M752">
        <f t="shared" ca="1" si="45"/>
        <v>264.10552571157046</v>
      </c>
    </row>
    <row r="753" spans="9:13" x14ac:dyDescent="0.25">
      <c r="I753">
        <v>693</v>
      </c>
      <c r="J753">
        <f t="shared" ca="1" si="42"/>
        <v>7.4736233240029731E-2</v>
      </c>
      <c r="K753">
        <f t="shared" ca="1" si="43"/>
        <v>0.38992428005591895</v>
      </c>
      <c r="L753">
        <f t="shared" ca="1" si="44"/>
        <v>0.11396209268001874</v>
      </c>
      <c r="M753">
        <f t="shared" ca="1" si="45"/>
        <v>159.16539574553607</v>
      </c>
    </row>
    <row r="754" spans="9:13" x14ac:dyDescent="0.25">
      <c r="I754">
        <v>694</v>
      </c>
      <c r="J754">
        <f t="shared" ca="1" si="42"/>
        <v>2.4064407063132433E-2</v>
      </c>
      <c r="K754">
        <f t="shared" ca="1" si="43"/>
        <v>0.43988160067295423</v>
      </c>
      <c r="L754">
        <f t="shared" ca="1" si="44"/>
        <v>9.5045760471217683E-2</v>
      </c>
      <c r="M754">
        <f t="shared" ca="1" si="45"/>
        <v>178.69545279622935</v>
      </c>
    </row>
    <row r="755" spans="9:13" x14ac:dyDescent="0.25">
      <c r="I755">
        <v>695</v>
      </c>
      <c r="J755">
        <f t="shared" ca="1" si="42"/>
        <v>8.4009593502858859E-2</v>
      </c>
      <c r="K755">
        <f t="shared" ca="1" si="43"/>
        <v>0.46543704390964941</v>
      </c>
      <c r="L755">
        <f t="shared" ca="1" si="44"/>
        <v>9.9193670757425398E-2</v>
      </c>
      <c r="M755">
        <f t="shared" ca="1" si="45"/>
        <v>237.93972212552143</v>
      </c>
    </row>
    <row r="756" spans="9:13" x14ac:dyDescent="0.25">
      <c r="I756">
        <v>696</v>
      </c>
      <c r="J756">
        <f t="shared" ca="1" si="42"/>
        <v>9.3848645259363733E-2</v>
      </c>
      <c r="K756">
        <f t="shared" ca="1" si="43"/>
        <v>0.4380337464581901</v>
      </c>
      <c r="L756">
        <f t="shared" ca="1" si="44"/>
        <v>0.11563696248415557</v>
      </c>
      <c r="M756">
        <f t="shared" ca="1" si="45"/>
        <v>192.04767078628205</v>
      </c>
    </row>
    <row r="757" spans="9:13" x14ac:dyDescent="0.25">
      <c r="I757">
        <v>697</v>
      </c>
      <c r="J757">
        <f t="shared" ca="1" si="42"/>
        <v>0.11262042593607074</v>
      </c>
      <c r="K757">
        <f t="shared" ca="1" si="43"/>
        <v>0.4878300504739394</v>
      </c>
      <c r="L757">
        <f t="shared" ca="1" si="44"/>
        <v>0.11260411294308548</v>
      </c>
      <c r="M757">
        <f t="shared" ca="1" si="45"/>
        <v>241.20523706726459</v>
      </c>
    </row>
    <row r="758" spans="9:13" x14ac:dyDescent="0.25">
      <c r="I758">
        <v>698</v>
      </c>
      <c r="J758">
        <f t="shared" ca="1" si="42"/>
        <v>0.12898752430372568</v>
      </c>
      <c r="K758">
        <f t="shared" ca="1" si="43"/>
        <v>0.44206230552886899</v>
      </c>
      <c r="L758">
        <f t="shared" ca="1" si="44"/>
        <v>0.10313137115721026</v>
      </c>
      <c r="M758">
        <f t="shared" ca="1" si="45"/>
        <v>263.33185189802555</v>
      </c>
    </row>
    <row r="759" spans="9:13" x14ac:dyDescent="0.25">
      <c r="I759">
        <v>699</v>
      </c>
      <c r="J759">
        <f t="shared" ca="1" si="42"/>
        <v>5.5067579246963039E-2</v>
      </c>
      <c r="K759">
        <f t="shared" ca="1" si="43"/>
        <v>0.40870014729978638</v>
      </c>
      <c r="L759">
        <f t="shared" ca="1" si="44"/>
        <v>0.11032507991512243</v>
      </c>
      <c r="M759">
        <f t="shared" ca="1" si="45"/>
        <v>158.4870784801455</v>
      </c>
    </row>
    <row r="760" spans="9:13" x14ac:dyDescent="0.25">
      <c r="I760">
        <v>700</v>
      </c>
      <c r="J760">
        <f t="shared" ca="1" si="42"/>
        <v>6.2545608024083335E-2</v>
      </c>
      <c r="K760">
        <f t="shared" ca="1" si="43"/>
        <v>0.40498296991266874</v>
      </c>
      <c r="L760">
        <f t="shared" ca="1" si="44"/>
        <v>0.10051360742578616</v>
      </c>
      <c r="M760">
        <f t="shared" ca="1" si="45"/>
        <v>183.74816213260823</v>
      </c>
    </row>
    <row r="761" spans="9:13" x14ac:dyDescent="0.25">
      <c r="I761">
        <v>701</v>
      </c>
      <c r="J761">
        <f t="shared" ca="1" si="42"/>
        <v>3.5668504351724382E-2</v>
      </c>
      <c r="K761">
        <f t="shared" ca="1" si="43"/>
        <v>0.44665647809514192</v>
      </c>
      <c r="L761">
        <f t="shared" ca="1" si="44"/>
        <v>0.12188552250862081</v>
      </c>
      <c r="M761">
        <f t="shared" ca="1" si="45"/>
        <v>139.11383548697276</v>
      </c>
    </row>
    <row r="762" spans="9:13" x14ac:dyDescent="0.25">
      <c r="I762">
        <v>702</v>
      </c>
      <c r="J762">
        <f t="shared" ca="1" si="42"/>
        <v>0.10580290454822404</v>
      </c>
      <c r="K762">
        <f t="shared" ca="1" si="43"/>
        <v>0.46347839914767985</v>
      </c>
      <c r="L762">
        <f t="shared" ca="1" si="44"/>
        <v>0.11449644613594626</v>
      </c>
      <c r="M762">
        <f t="shared" ca="1" si="45"/>
        <v>217.44936453870355</v>
      </c>
    </row>
    <row r="763" spans="9:13" x14ac:dyDescent="0.25">
      <c r="I763">
        <v>703</v>
      </c>
      <c r="J763">
        <f t="shared" ca="1" si="42"/>
        <v>6.7592420844379414E-2</v>
      </c>
      <c r="K763">
        <f t="shared" ca="1" si="43"/>
        <v>0.48521896195841868</v>
      </c>
      <c r="L763">
        <f t="shared" ca="1" si="44"/>
        <v>0.11374940747048193</v>
      </c>
      <c r="M763">
        <f t="shared" ca="1" si="45"/>
        <v>192.34511904385309</v>
      </c>
    </row>
    <row r="764" spans="9:13" x14ac:dyDescent="0.25">
      <c r="I764">
        <v>704</v>
      </c>
      <c r="J764">
        <f t="shared" ca="1" si="42"/>
        <v>0.10147523982053977</v>
      </c>
      <c r="K764">
        <f t="shared" ca="1" si="43"/>
        <v>0.39498880926861851</v>
      </c>
      <c r="L764">
        <f t="shared" ca="1" si="44"/>
        <v>0.11029554282473003</v>
      </c>
      <c r="M764">
        <f t="shared" ca="1" si="45"/>
        <v>190.33078039842928</v>
      </c>
    </row>
    <row r="765" spans="9:13" x14ac:dyDescent="0.25">
      <c r="I765">
        <v>705</v>
      </c>
      <c r="J765">
        <f t="shared" ca="1" si="42"/>
        <v>0.14354381528050969</v>
      </c>
      <c r="K765">
        <f t="shared" ca="1" si="43"/>
        <v>0.43667382856080084</v>
      </c>
      <c r="L765">
        <f t="shared" ca="1" si="44"/>
        <v>0.12329021840603238</v>
      </c>
      <c r="M765">
        <f t="shared" ca="1" si="45"/>
        <v>220.98884333622647</v>
      </c>
    </row>
    <row r="766" spans="9:13" x14ac:dyDescent="0.25">
      <c r="I766">
        <v>706</v>
      </c>
      <c r="J766">
        <f t="shared" ref="J766:J829" ca="1" si="46">_xlfn.NORM.INV(RAND(),0.085,0.03)</f>
        <v>8.954930245245471E-2</v>
      </c>
      <c r="K766">
        <f t="shared" ref="K766:K829" ca="1" si="47">_xlfn.NORM.INV(RAND(),0.435,0.03)</f>
        <v>0.44178380273094681</v>
      </c>
      <c r="L766">
        <f t="shared" ref="L766:L829" ca="1" si="48">_xlfn.NORM.INV(RAND(),0.1106,0.01)</f>
        <v>0.12104763435175503</v>
      </c>
      <c r="M766">
        <f t="shared" ref="M766:M829" ca="1" si="49">((416.161*(1+J766)^5*K766*(1-(1+L766)^-5)/L766)+(416.161*(1+J766)^5*K766*(1+0.025)/(L766-0.025)*(1+L766)^-5)-78.328+54.697)/15.02</f>
        <v>179.2817751892683</v>
      </c>
    </row>
    <row r="767" spans="9:13" x14ac:dyDescent="0.25">
      <c r="I767">
        <v>707</v>
      </c>
      <c r="J767">
        <f t="shared" ca="1" si="46"/>
        <v>8.2861530435557607E-2</v>
      </c>
      <c r="K767">
        <f t="shared" ca="1" si="47"/>
        <v>0.49804138237604206</v>
      </c>
      <c r="L767">
        <f t="shared" ca="1" si="48"/>
        <v>0.11581789068261489</v>
      </c>
      <c r="M767">
        <f t="shared" ca="1" si="49"/>
        <v>207.32574665889797</v>
      </c>
    </row>
    <row r="768" spans="9:13" x14ac:dyDescent="0.25">
      <c r="I768">
        <v>708</v>
      </c>
      <c r="J768">
        <f t="shared" ca="1" si="46"/>
        <v>0.10956238816664923</v>
      </c>
      <c r="K768">
        <f t="shared" ca="1" si="47"/>
        <v>0.42746159911394732</v>
      </c>
      <c r="L768">
        <f t="shared" ca="1" si="48"/>
        <v>0.11083508363103974</v>
      </c>
      <c r="M768">
        <f t="shared" ca="1" si="49"/>
        <v>212.51106129613865</v>
      </c>
    </row>
    <row r="769" spans="9:13" x14ac:dyDescent="0.25">
      <c r="I769">
        <v>709</v>
      </c>
      <c r="J769">
        <f t="shared" ca="1" si="46"/>
        <v>6.9565152847251149E-2</v>
      </c>
      <c r="K769">
        <f t="shared" ca="1" si="47"/>
        <v>0.4506680410029183</v>
      </c>
      <c r="L769">
        <f t="shared" ca="1" si="48"/>
        <v>0.11159344355746487</v>
      </c>
      <c r="M769">
        <f t="shared" ca="1" si="49"/>
        <v>184.66151678679748</v>
      </c>
    </row>
    <row r="770" spans="9:13" x14ac:dyDescent="0.25">
      <c r="I770">
        <v>710</v>
      </c>
      <c r="J770">
        <f t="shared" ca="1" si="46"/>
        <v>3.0662441459005665E-2</v>
      </c>
      <c r="K770">
        <f t="shared" ca="1" si="47"/>
        <v>0.44816996336282799</v>
      </c>
      <c r="L770">
        <f t="shared" ca="1" si="48"/>
        <v>0.10520286815305906</v>
      </c>
      <c r="M770">
        <f t="shared" ca="1" si="49"/>
        <v>164.38033845612964</v>
      </c>
    </row>
    <row r="771" spans="9:13" x14ac:dyDescent="0.25">
      <c r="I771">
        <v>711</v>
      </c>
      <c r="J771">
        <f t="shared" ca="1" si="46"/>
        <v>9.8285401554049717E-2</v>
      </c>
      <c r="K771">
        <f t="shared" ca="1" si="47"/>
        <v>0.44714282109572345</v>
      </c>
      <c r="L771">
        <f t="shared" ca="1" si="48"/>
        <v>8.5882712979027165E-2</v>
      </c>
      <c r="M771">
        <f t="shared" ca="1" si="49"/>
        <v>297.02681606156489</v>
      </c>
    </row>
    <row r="772" spans="9:13" x14ac:dyDescent="0.25">
      <c r="I772">
        <v>712</v>
      </c>
      <c r="J772">
        <f t="shared" ca="1" si="46"/>
        <v>5.989014446003308E-2</v>
      </c>
      <c r="K772">
        <f t="shared" ca="1" si="47"/>
        <v>0.46462110649983551</v>
      </c>
      <c r="L772">
        <f t="shared" ca="1" si="48"/>
        <v>0.12146100903708421</v>
      </c>
      <c r="M772">
        <f t="shared" ca="1" si="49"/>
        <v>163.4158862534631</v>
      </c>
    </row>
    <row r="773" spans="9:13" x14ac:dyDescent="0.25">
      <c r="I773">
        <v>713</v>
      </c>
      <c r="J773">
        <f t="shared" ca="1" si="46"/>
        <v>0.10858621521833131</v>
      </c>
      <c r="K773">
        <f t="shared" ca="1" si="47"/>
        <v>0.45701739751885018</v>
      </c>
      <c r="L773">
        <f t="shared" ca="1" si="48"/>
        <v>0.11830033310845511</v>
      </c>
      <c r="M773">
        <f t="shared" ca="1" si="49"/>
        <v>208.35129277769846</v>
      </c>
    </row>
    <row r="774" spans="9:13" x14ac:dyDescent="0.25">
      <c r="I774">
        <v>714</v>
      </c>
      <c r="J774">
        <f t="shared" ca="1" si="46"/>
        <v>5.748637925943495E-2</v>
      </c>
      <c r="K774">
        <f t="shared" ca="1" si="47"/>
        <v>0.42249633694747052</v>
      </c>
      <c r="L774">
        <f t="shared" ca="1" si="48"/>
        <v>0.10815685362884291</v>
      </c>
      <c r="M774">
        <f t="shared" ca="1" si="49"/>
        <v>170.09244660486613</v>
      </c>
    </row>
    <row r="775" spans="9:13" x14ac:dyDescent="0.25">
      <c r="I775">
        <v>715</v>
      </c>
      <c r="J775">
        <f t="shared" ca="1" si="46"/>
        <v>5.2470218309453184E-2</v>
      </c>
      <c r="K775">
        <f t="shared" ca="1" si="47"/>
        <v>0.41836662273540426</v>
      </c>
      <c r="L775">
        <f t="shared" ca="1" si="48"/>
        <v>0.11111574328758338</v>
      </c>
      <c r="M775">
        <f t="shared" ca="1" si="49"/>
        <v>158.80270578224906</v>
      </c>
    </row>
    <row r="776" spans="9:13" x14ac:dyDescent="0.25">
      <c r="I776">
        <v>716</v>
      </c>
      <c r="J776">
        <f t="shared" ca="1" si="46"/>
        <v>9.673149856125772E-2</v>
      </c>
      <c r="K776">
        <f t="shared" ca="1" si="47"/>
        <v>0.42211437808197233</v>
      </c>
      <c r="L776">
        <f t="shared" ca="1" si="48"/>
        <v>0.11440665180114636</v>
      </c>
      <c r="M776">
        <f t="shared" ca="1" si="49"/>
        <v>190.04268153276331</v>
      </c>
    </row>
    <row r="777" spans="9:13" x14ac:dyDescent="0.25">
      <c r="I777">
        <v>717</v>
      </c>
      <c r="J777">
        <f t="shared" ca="1" si="46"/>
        <v>-7.785205554291949E-3</v>
      </c>
      <c r="K777">
        <f t="shared" ca="1" si="47"/>
        <v>0.43450256081671385</v>
      </c>
      <c r="L777">
        <f t="shared" ca="1" si="48"/>
        <v>0.11072745122464199</v>
      </c>
      <c r="M777">
        <f t="shared" ca="1" si="49"/>
        <v>123.01767603101936</v>
      </c>
    </row>
    <row r="778" spans="9:13" x14ac:dyDescent="0.25">
      <c r="I778">
        <v>718</v>
      </c>
      <c r="J778">
        <f t="shared" ca="1" si="46"/>
        <v>7.6047043571259368E-2</v>
      </c>
      <c r="K778">
        <f t="shared" ca="1" si="47"/>
        <v>0.41198803809482359</v>
      </c>
      <c r="L778">
        <f t="shared" ca="1" si="48"/>
        <v>0.10197744734525627</v>
      </c>
      <c r="M778">
        <f t="shared" ca="1" si="49"/>
        <v>195.47448716605183</v>
      </c>
    </row>
    <row r="779" spans="9:13" x14ac:dyDescent="0.25">
      <c r="I779">
        <v>719</v>
      </c>
      <c r="J779">
        <f t="shared" ca="1" si="46"/>
        <v>1.5633064626673521E-2</v>
      </c>
      <c r="K779">
        <f t="shared" ca="1" si="47"/>
        <v>0.40225718024149121</v>
      </c>
      <c r="L779">
        <f t="shared" ca="1" si="48"/>
        <v>0.11296204482224766</v>
      </c>
      <c r="M779">
        <f t="shared" ca="1" si="49"/>
        <v>124.79884486816532</v>
      </c>
    </row>
    <row r="780" spans="9:13" x14ac:dyDescent="0.25">
      <c r="I780">
        <v>720</v>
      </c>
      <c r="J780">
        <f t="shared" ca="1" si="46"/>
        <v>7.9395986798952711E-2</v>
      </c>
      <c r="K780">
        <f t="shared" ca="1" si="47"/>
        <v>0.44511440774251521</v>
      </c>
      <c r="L780">
        <f t="shared" ca="1" si="48"/>
        <v>9.3761237087795463E-2</v>
      </c>
      <c r="M780">
        <f t="shared" ca="1" si="49"/>
        <v>240.11519774470827</v>
      </c>
    </row>
    <row r="781" spans="9:13" x14ac:dyDescent="0.25">
      <c r="I781">
        <v>721</v>
      </c>
      <c r="J781">
        <f t="shared" ca="1" si="46"/>
        <v>9.01760830202364E-2</v>
      </c>
      <c r="K781">
        <f t="shared" ca="1" si="47"/>
        <v>0.42185332555296912</v>
      </c>
      <c r="L781">
        <f t="shared" ca="1" si="48"/>
        <v>0.11232583615737496</v>
      </c>
      <c r="M781">
        <f t="shared" ca="1" si="49"/>
        <v>188.62716163440427</v>
      </c>
    </row>
    <row r="782" spans="9:13" x14ac:dyDescent="0.25">
      <c r="I782">
        <v>722</v>
      </c>
      <c r="J782">
        <f t="shared" ca="1" si="46"/>
        <v>7.4482346483675799E-2</v>
      </c>
      <c r="K782">
        <f t="shared" ca="1" si="47"/>
        <v>0.38903313902743503</v>
      </c>
      <c r="L782">
        <f t="shared" ca="1" si="48"/>
        <v>0.11470481365944002</v>
      </c>
      <c r="M782">
        <f t="shared" ca="1" si="49"/>
        <v>157.30330882762686</v>
      </c>
    </row>
    <row r="783" spans="9:13" x14ac:dyDescent="0.25">
      <c r="I783">
        <v>723</v>
      </c>
      <c r="J783">
        <f t="shared" ca="1" si="46"/>
        <v>0.1401781315100871</v>
      </c>
      <c r="K783">
        <f t="shared" ca="1" si="47"/>
        <v>0.43009352131783657</v>
      </c>
      <c r="L783">
        <f t="shared" ca="1" si="48"/>
        <v>0.11314648987447544</v>
      </c>
      <c r="M783">
        <f t="shared" ca="1" si="49"/>
        <v>238.85985152462811</v>
      </c>
    </row>
    <row r="784" spans="9:13" x14ac:dyDescent="0.25">
      <c r="I784">
        <v>724</v>
      </c>
      <c r="J784">
        <f t="shared" ca="1" si="46"/>
        <v>8.459941910440287E-2</v>
      </c>
      <c r="K784">
        <f t="shared" ca="1" si="47"/>
        <v>0.47288135637911943</v>
      </c>
      <c r="L784">
        <f t="shared" ca="1" si="48"/>
        <v>0.10072852755778816</v>
      </c>
      <c r="M784">
        <f t="shared" ca="1" si="49"/>
        <v>237.55619137651365</v>
      </c>
    </row>
    <row r="785" spans="9:13" x14ac:dyDescent="0.25">
      <c r="I785">
        <v>725</v>
      </c>
      <c r="J785">
        <f t="shared" ca="1" si="46"/>
        <v>4.2841474831060489E-2</v>
      </c>
      <c r="K785">
        <f t="shared" ca="1" si="47"/>
        <v>0.4713349665297607</v>
      </c>
      <c r="L785">
        <f t="shared" ca="1" si="48"/>
        <v>0.10846531907175402</v>
      </c>
      <c r="M785">
        <f t="shared" ca="1" si="49"/>
        <v>176.38740362491563</v>
      </c>
    </row>
    <row r="786" spans="9:13" x14ac:dyDescent="0.25">
      <c r="I786">
        <v>726</v>
      </c>
      <c r="J786">
        <f t="shared" ca="1" si="46"/>
        <v>4.0227871094512258E-2</v>
      </c>
      <c r="K786">
        <f t="shared" ca="1" si="47"/>
        <v>0.40175551069627946</v>
      </c>
      <c r="L786">
        <f t="shared" ca="1" si="48"/>
        <v>0.1205517730640184</v>
      </c>
      <c r="M786">
        <f t="shared" ca="1" si="49"/>
        <v>129.55653248157296</v>
      </c>
    </row>
    <row r="787" spans="9:13" x14ac:dyDescent="0.25">
      <c r="I787">
        <v>727</v>
      </c>
      <c r="J787">
        <f t="shared" ca="1" si="46"/>
        <v>0.12204932428555747</v>
      </c>
      <c r="K787">
        <f t="shared" ca="1" si="47"/>
        <v>0.40951868986881523</v>
      </c>
      <c r="L787">
        <f t="shared" ca="1" si="48"/>
        <v>0.11386682593111405</v>
      </c>
      <c r="M787">
        <f t="shared" ca="1" si="49"/>
        <v>208.04161379931776</v>
      </c>
    </row>
    <row r="788" spans="9:13" x14ac:dyDescent="0.25">
      <c r="I788">
        <v>728</v>
      </c>
      <c r="J788">
        <f t="shared" ca="1" si="46"/>
        <v>6.3501497219962108E-2</v>
      </c>
      <c r="K788">
        <f t="shared" ca="1" si="47"/>
        <v>0.46890976383973293</v>
      </c>
      <c r="L788">
        <f t="shared" ca="1" si="48"/>
        <v>0.10476714980781256</v>
      </c>
      <c r="M788">
        <f t="shared" ca="1" si="49"/>
        <v>202.63472470583176</v>
      </c>
    </row>
    <row r="789" spans="9:13" x14ac:dyDescent="0.25">
      <c r="I789">
        <v>729</v>
      </c>
      <c r="J789">
        <f t="shared" ca="1" si="46"/>
        <v>0.1101472181038948</v>
      </c>
      <c r="K789">
        <f t="shared" ca="1" si="47"/>
        <v>0.42439098030578137</v>
      </c>
      <c r="L789">
        <f t="shared" ca="1" si="48"/>
        <v>0.10569234783414633</v>
      </c>
      <c r="M789">
        <f t="shared" ca="1" si="49"/>
        <v>224.90529451830645</v>
      </c>
    </row>
    <row r="790" spans="9:13" x14ac:dyDescent="0.25">
      <c r="I790">
        <v>730</v>
      </c>
      <c r="J790">
        <f t="shared" ca="1" si="46"/>
        <v>5.6687745504355513E-2</v>
      </c>
      <c r="K790">
        <f t="shared" ca="1" si="47"/>
        <v>0.42762301730030644</v>
      </c>
      <c r="L790">
        <f t="shared" ca="1" si="48"/>
        <v>0.12696540174349244</v>
      </c>
      <c r="M790">
        <f t="shared" ca="1" si="49"/>
        <v>140.05600373506181</v>
      </c>
    </row>
    <row r="791" spans="9:13" x14ac:dyDescent="0.25">
      <c r="I791">
        <v>731</v>
      </c>
      <c r="J791">
        <f t="shared" ca="1" si="46"/>
        <v>7.5974141399626591E-2</v>
      </c>
      <c r="K791">
        <f t="shared" ca="1" si="47"/>
        <v>0.42380718117615562</v>
      </c>
      <c r="L791">
        <f t="shared" ca="1" si="48"/>
        <v>0.12254290950196436</v>
      </c>
      <c r="M791">
        <f t="shared" ca="1" si="49"/>
        <v>158.92357543752618</v>
      </c>
    </row>
    <row r="792" spans="9:13" x14ac:dyDescent="0.25">
      <c r="I792">
        <v>732</v>
      </c>
      <c r="J792">
        <f t="shared" ca="1" si="46"/>
        <v>8.6979068985008318E-2</v>
      </c>
      <c r="K792">
        <f t="shared" ca="1" si="47"/>
        <v>0.42698428961375856</v>
      </c>
      <c r="L792">
        <f t="shared" ca="1" si="48"/>
        <v>0.10089286069730524</v>
      </c>
      <c r="M792">
        <f t="shared" ca="1" si="49"/>
        <v>216.25974311967357</v>
      </c>
    </row>
    <row r="793" spans="9:13" x14ac:dyDescent="0.25">
      <c r="I793">
        <v>733</v>
      </c>
      <c r="J793">
        <f t="shared" ca="1" si="46"/>
        <v>0.10888870495911328</v>
      </c>
      <c r="K793">
        <f t="shared" ca="1" si="47"/>
        <v>0.45533523071668414</v>
      </c>
      <c r="L793">
        <f t="shared" ca="1" si="48"/>
        <v>0.10047937530414397</v>
      </c>
      <c r="M793">
        <f t="shared" ca="1" si="49"/>
        <v>256.48406919117895</v>
      </c>
    </row>
    <row r="794" spans="9:13" x14ac:dyDescent="0.25">
      <c r="I794">
        <v>734</v>
      </c>
      <c r="J794">
        <f t="shared" ca="1" si="46"/>
        <v>8.4407459217026887E-2</v>
      </c>
      <c r="K794">
        <f t="shared" ca="1" si="47"/>
        <v>0.47554825856892252</v>
      </c>
      <c r="L794">
        <f t="shared" ca="1" si="48"/>
        <v>0.11522443178681106</v>
      </c>
      <c r="M794">
        <f t="shared" ca="1" si="49"/>
        <v>200.61936322529164</v>
      </c>
    </row>
    <row r="795" spans="9:13" x14ac:dyDescent="0.25">
      <c r="I795">
        <v>735</v>
      </c>
      <c r="J795">
        <f t="shared" ca="1" si="46"/>
        <v>8.7260625203887818E-2</v>
      </c>
      <c r="K795">
        <f t="shared" ca="1" si="47"/>
        <v>0.44496307503976706</v>
      </c>
      <c r="L795">
        <f t="shared" ca="1" si="48"/>
        <v>9.5310918387773336E-2</v>
      </c>
      <c r="M795">
        <f t="shared" ca="1" si="49"/>
        <v>243.5143934454301</v>
      </c>
    </row>
    <row r="796" spans="9:13" x14ac:dyDescent="0.25">
      <c r="I796">
        <v>736</v>
      </c>
      <c r="J796">
        <f t="shared" ca="1" si="46"/>
        <v>6.9342568493216766E-2</v>
      </c>
      <c r="K796">
        <f t="shared" ca="1" si="47"/>
        <v>0.44794255358330093</v>
      </c>
      <c r="L796">
        <f t="shared" ca="1" si="48"/>
        <v>0.10498264393194862</v>
      </c>
      <c r="M796">
        <f t="shared" ca="1" si="49"/>
        <v>198.3875805840824</v>
      </c>
    </row>
    <row r="797" spans="9:13" x14ac:dyDescent="0.25">
      <c r="I797">
        <v>737</v>
      </c>
      <c r="J797">
        <f t="shared" ca="1" si="46"/>
        <v>0.16349183166844375</v>
      </c>
      <c r="K797">
        <f t="shared" ca="1" si="47"/>
        <v>0.42908285532287349</v>
      </c>
      <c r="L797">
        <f t="shared" ca="1" si="48"/>
        <v>0.11782733519802842</v>
      </c>
      <c r="M797">
        <f t="shared" ca="1" si="49"/>
        <v>250.66589987364267</v>
      </c>
    </row>
    <row r="798" spans="9:13" x14ac:dyDescent="0.25">
      <c r="I798">
        <v>738</v>
      </c>
      <c r="J798">
        <f t="shared" ca="1" si="46"/>
        <v>0.13387328179240318</v>
      </c>
      <c r="K798">
        <f t="shared" ca="1" si="47"/>
        <v>0.47316163176131043</v>
      </c>
      <c r="L798">
        <f t="shared" ca="1" si="48"/>
        <v>0.11205477096687812</v>
      </c>
      <c r="M798">
        <f t="shared" ca="1" si="49"/>
        <v>258.87899132032226</v>
      </c>
    </row>
    <row r="799" spans="9:13" x14ac:dyDescent="0.25">
      <c r="I799">
        <v>739</v>
      </c>
      <c r="J799">
        <f t="shared" ca="1" si="46"/>
        <v>0.10176775932584736</v>
      </c>
      <c r="K799">
        <f t="shared" ca="1" si="47"/>
        <v>0.46146895852623232</v>
      </c>
      <c r="L799">
        <f t="shared" ca="1" si="48"/>
        <v>0.1275889860447722</v>
      </c>
      <c r="M799">
        <f t="shared" ca="1" si="49"/>
        <v>185.64540287829476</v>
      </c>
    </row>
    <row r="800" spans="9:13" x14ac:dyDescent="0.25">
      <c r="I800">
        <v>740</v>
      </c>
      <c r="J800">
        <f t="shared" ca="1" si="46"/>
        <v>5.6936736699830293E-2</v>
      </c>
      <c r="K800">
        <f t="shared" ca="1" si="47"/>
        <v>0.41338274318593737</v>
      </c>
      <c r="L800">
        <f t="shared" ca="1" si="48"/>
        <v>0.1025147861511902</v>
      </c>
      <c r="M800">
        <f t="shared" ca="1" si="49"/>
        <v>177.96207714458455</v>
      </c>
    </row>
    <row r="801" spans="9:13" x14ac:dyDescent="0.25">
      <c r="I801">
        <v>741</v>
      </c>
      <c r="J801">
        <f t="shared" ca="1" si="46"/>
        <v>8.006930294924626E-2</v>
      </c>
      <c r="K801">
        <f t="shared" ca="1" si="47"/>
        <v>0.45179277045983396</v>
      </c>
      <c r="L801">
        <f t="shared" ca="1" si="48"/>
        <v>0.11291736219340942</v>
      </c>
      <c r="M801">
        <f t="shared" ca="1" si="49"/>
        <v>191.56927256942382</v>
      </c>
    </row>
    <row r="802" spans="9:13" x14ac:dyDescent="0.25">
      <c r="I802">
        <v>742</v>
      </c>
      <c r="J802">
        <f t="shared" ca="1" si="46"/>
        <v>8.5003336251653669E-2</v>
      </c>
      <c r="K802">
        <f t="shared" ca="1" si="47"/>
        <v>0.42834054341405292</v>
      </c>
      <c r="L802">
        <f t="shared" ca="1" si="48"/>
        <v>0.12261205448236012</v>
      </c>
      <c r="M802">
        <f t="shared" ca="1" si="49"/>
        <v>167.44395803226121</v>
      </c>
    </row>
    <row r="803" spans="9:13" x14ac:dyDescent="0.25">
      <c r="I803">
        <v>743</v>
      </c>
      <c r="J803">
        <f t="shared" ca="1" si="46"/>
        <v>7.2735223206850816E-2</v>
      </c>
      <c r="K803">
        <f t="shared" ca="1" si="47"/>
        <v>0.42531937058743902</v>
      </c>
      <c r="L803">
        <f t="shared" ca="1" si="48"/>
        <v>0.10693540958738178</v>
      </c>
      <c r="M803">
        <f t="shared" ca="1" si="49"/>
        <v>186.7894300695751</v>
      </c>
    </row>
    <row r="804" spans="9:13" x14ac:dyDescent="0.25">
      <c r="I804">
        <v>744</v>
      </c>
      <c r="J804">
        <f t="shared" ca="1" si="46"/>
        <v>4.1642218733563933E-2</v>
      </c>
      <c r="K804">
        <f t="shared" ca="1" si="47"/>
        <v>0.40951423550809074</v>
      </c>
      <c r="L804">
        <f t="shared" ca="1" si="48"/>
        <v>0.10944955621698368</v>
      </c>
      <c r="M804">
        <f t="shared" ca="1" si="49"/>
        <v>150.39414794769291</v>
      </c>
    </row>
    <row r="805" spans="9:13" x14ac:dyDescent="0.25">
      <c r="I805">
        <v>745</v>
      </c>
      <c r="J805">
        <f t="shared" ca="1" si="46"/>
        <v>5.4057287933000533E-2</v>
      </c>
      <c r="K805">
        <f t="shared" ca="1" si="47"/>
        <v>0.44913751886957481</v>
      </c>
      <c r="L805">
        <f t="shared" ca="1" si="48"/>
        <v>9.9059386223076806E-2</v>
      </c>
      <c r="M805">
        <f t="shared" ca="1" si="49"/>
        <v>199.6965936762418</v>
      </c>
    </row>
    <row r="806" spans="9:13" x14ac:dyDescent="0.25">
      <c r="I806">
        <v>746</v>
      </c>
      <c r="J806">
        <f t="shared" ca="1" si="46"/>
        <v>7.3052647876969828E-2</v>
      </c>
      <c r="K806">
        <f t="shared" ca="1" si="47"/>
        <v>0.44145518870674405</v>
      </c>
      <c r="L806">
        <f t="shared" ca="1" si="48"/>
        <v>0.12077946297704079</v>
      </c>
      <c r="M806">
        <f t="shared" ca="1" si="49"/>
        <v>166.33510651432775</v>
      </c>
    </row>
    <row r="807" spans="9:13" x14ac:dyDescent="0.25">
      <c r="I807">
        <v>747</v>
      </c>
      <c r="J807">
        <f t="shared" ca="1" si="46"/>
        <v>8.6349202825979521E-2</v>
      </c>
      <c r="K807">
        <f t="shared" ca="1" si="47"/>
        <v>0.40401430628739682</v>
      </c>
      <c r="L807">
        <f t="shared" ca="1" si="48"/>
        <v>9.7361448265518125E-2</v>
      </c>
      <c r="M807">
        <f t="shared" ca="1" si="49"/>
        <v>213.83227987009161</v>
      </c>
    </row>
    <row r="808" spans="9:13" x14ac:dyDescent="0.25">
      <c r="I808">
        <v>748</v>
      </c>
      <c r="J808">
        <f t="shared" ca="1" si="46"/>
        <v>0.12112720569337418</v>
      </c>
      <c r="K808">
        <f t="shared" ca="1" si="47"/>
        <v>0.45261699867848948</v>
      </c>
      <c r="L808">
        <f t="shared" ca="1" si="48"/>
        <v>0.10850191742516592</v>
      </c>
      <c r="M808">
        <f t="shared" ca="1" si="49"/>
        <v>243.7398207060541</v>
      </c>
    </row>
    <row r="809" spans="9:13" x14ac:dyDescent="0.25">
      <c r="I809">
        <v>749</v>
      </c>
      <c r="J809">
        <f t="shared" ca="1" si="46"/>
        <v>8.5973912658383084E-2</v>
      </c>
      <c r="K809">
        <f t="shared" ca="1" si="47"/>
        <v>0.43612152621478489</v>
      </c>
      <c r="L809">
        <f t="shared" ca="1" si="48"/>
        <v>0.11200812895657666</v>
      </c>
      <c r="M809">
        <f t="shared" ca="1" si="49"/>
        <v>191.99296772375533</v>
      </c>
    </row>
    <row r="810" spans="9:13" x14ac:dyDescent="0.25">
      <c r="I810">
        <v>750</v>
      </c>
      <c r="J810">
        <f t="shared" ca="1" si="46"/>
        <v>8.2334645439139223E-2</v>
      </c>
      <c r="K810">
        <f t="shared" ca="1" si="47"/>
        <v>0.36785830072934284</v>
      </c>
      <c r="L810">
        <f t="shared" ca="1" si="48"/>
        <v>0.10901621834809332</v>
      </c>
      <c r="M810">
        <f t="shared" ca="1" si="49"/>
        <v>164.60618958591436</v>
      </c>
    </row>
    <row r="811" spans="9:13" x14ac:dyDescent="0.25">
      <c r="I811">
        <v>751</v>
      </c>
      <c r="J811">
        <f t="shared" ca="1" si="46"/>
        <v>7.5828121119781863E-2</v>
      </c>
      <c r="K811">
        <f t="shared" ca="1" si="47"/>
        <v>0.42421497217235288</v>
      </c>
      <c r="L811">
        <f t="shared" ca="1" si="48"/>
        <v>0.1022856674299835</v>
      </c>
      <c r="M811">
        <f t="shared" ca="1" si="49"/>
        <v>200.31929989893658</v>
      </c>
    </row>
    <row r="812" spans="9:13" x14ac:dyDescent="0.25">
      <c r="I812">
        <v>752</v>
      </c>
      <c r="J812">
        <f t="shared" ca="1" si="46"/>
        <v>9.832687564679865E-2</v>
      </c>
      <c r="K812">
        <f t="shared" ca="1" si="47"/>
        <v>0.40370296323170346</v>
      </c>
      <c r="L812">
        <f t="shared" ca="1" si="48"/>
        <v>9.6550522662444058E-2</v>
      </c>
      <c r="M812">
        <f t="shared" ca="1" si="49"/>
        <v>228.33837221156409</v>
      </c>
    </row>
    <row r="813" spans="9:13" x14ac:dyDescent="0.25">
      <c r="I813">
        <v>753</v>
      </c>
      <c r="J813">
        <f t="shared" ca="1" si="46"/>
        <v>4.3262980555262349E-2</v>
      </c>
      <c r="K813">
        <f t="shared" ca="1" si="47"/>
        <v>0.40114559986037018</v>
      </c>
      <c r="L813">
        <f t="shared" ca="1" si="48"/>
        <v>0.10490436313773746</v>
      </c>
      <c r="M813">
        <f t="shared" ca="1" si="49"/>
        <v>156.85344564282116</v>
      </c>
    </row>
    <row r="814" spans="9:13" x14ac:dyDescent="0.25">
      <c r="I814">
        <v>754</v>
      </c>
      <c r="J814">
        <f t="shared" ca="1" si="46"/>
        <v>4.8360106221209058E-2</v>
      </c>
      <c r="K814">
        <f t="shared" ca="1" si="47"/>
        <v>0.43788941376920876</v>
      </c>
      <c r="L814">
        <f t="shared" ca="1" si="48"/>
        <v>0.11574193514671974</v>
      </c>
      <c r="M814">
        <f t="shared" ca="1" si="49"/>
        <v>154.77056835641261</v>
      </c>
    </row>
    <row r="815" spans="9:13" x14ac:dyDescent="0.25">
      <c r="I815">
        <v>755</v>
      </c>
      <c r="J815">
        <f t="shared" ca="1" si="46"/>
        <v>8.6643808992974095E-2</v>
      </c>
      <c r="K815">
        <f t="shared" ca="1" si="47"/>
        <v>0.43320282938989613</v>
      </c>
      <c r="L815">
        <f t="shared" ca="1" si="48"/>
        <v>9.9472449055709927E-2</v>
      </c>
      <c r="M815">
        <f t="shared" ca="1" si="49"/>
        <v>223.24089324594482</v>
      </c>
    </row>
    <row r="816" spans="9:13" x14ac:dyDescent="0.25">
      <c r="I816">
        <v>756</v>
      </c>
      <c r="J816">
        <f t="shared" ca="1" si="46"/>
        <v>6.8886952068946225E-2</v>
      </c>
      <c r="K816">
        <f t="shared" ca="1" si="47"/>
        <v>0.48216009414347771</v>
      </c>
      <c r="L816">
        <f t="shared" ca="1" si="48"/>
        <v>0.12069210309749916</v>
      </c>
      <c r="M816">
        <f t="shared" ca="1" si="49"/>
        <v>178.44661533054008</v>
      </c>
    </row>
    <row r="817" spans="9:13" x14ac:dyDescent="0.25">
      <c r="I817">
        <v>757</v>
      </c>
      <c r="J817">
        <f t="shared" ca="1" si="46"/>
        <v>0.10756658236258256</v>
      </c>
      <c r="K817">
        <f t="shared" ca="1" si="47"/>
        <v>0.42373213295175077</v>
      </c>
      <c r="L817">
        <f t="shared" ca="1" si="48"/>
        <v>9.2255443250331554E-2</v>
      </c>
      <c r="M817">
        <f t="shared" ca="1" si="49"/>
        <v>265.9195139736932</v>
      </c>
    </row>
    <row r="818" spans="9:13" x14ac:dyDescent="0.25">
      <c r="I818">
        <v>758</v>
      </c>
      <c r="J818">
        <f t="shared" ca="1" si="46"/>
        <v>6.1208230935905356E-2</v>
      </c>
      <c r="K818">
        <f t="shared" ca="1" si="47"/>
        <v>0.41592531287452172</v>
      </c>
      <c r="L818">
        <f t="shared" ca="1" si="48"/>
        <v>0.1148348785697702</v>
      </c>
      <c r="M818">
        <f t="shared" ca="1" si="49"/>
        <v>157.82220502553233</v>
      </c>
    </row>
    <row r="819" spans="9:13" x14ac:dyDescent="0.25">
      <c r="I819">
        <v>759</v>
      </c>
      <c r="J819">
        <f t="shared" ca="1" si="46"/>
        <v>7.2686510791404049E-2</v>
      </c>
      <c r="K819">
        <f t="shared" ca="1" si="47"/>
        <v>0.44679447789872029</v>
      </c>
      <c r="L819">
        <f t="shared" ca="1" si="48"/>
        <v>0.10798968625441489</v>
      </c>
      <c r="M819">
        <f t="shared" ca="1" si="49"/>
        <v>193.77942845883919</v>
      </c>
    </row>
    <row r="820" spans="9:13" x14ac:dyDescent="0.25">
      <c r="I820">
        <v>760</v>
      </c>
      <c r="J820">
        <f t="shared" ca="1" si="46"/>
        <v>0.16070847971411684</v>
      </c>
      <c r="K820">
        <f t="shared" ca="1" si="47"/>
        <v>0.39628913479511785</v>
      </c>
      <c r="L820">
        <f t="shared" ca="1" si="48"/>
        <v>0.12977304349763247</v>
      </c>
      <c r="M820">
        <f t="shared" ca="1" si="49"/>
        <v>202.78611493186486</v>
      </c>
    </row>
    <row r="821" spans="9:13" x14ac:dyDescent="0.25">
      <c r="I821">
        <v>761</v>
      </c>
      <c r="J821">
        <f t="shared" ca="1" si="46"/>
        <v>0.11267217776821299</v>
      </c>
      <c r="K821">
        <f t="shared" ca="1" si="47"/>
        <v>0.40853595253970815</v>
      </c>
      <c r="L821">
        <f t="shared" ca="1" si="48"/>
        <v>9.6174513895014899E-2</v>
      </c>
      <c r="M821">
        <f t="shared" ca="1" si="49"/>
        <v>247.98091801522949</v>
      </c>
    </row>
    <row r="822" spans="9:13" x14ac:dyDescent="0.25">
      <c r="I822">
        <v>762</v>
      </c>
      <c r="J822">
        <f t="shared" ca="1" si="46"/>
        <v>5.3001286067832255E-2</v>
      </c>
      <c r="K822">
        <f t="shared" ca="1" si="47"/>
        <v>0.42494968378577358</v>
      </c>
      <c r="L822">
        <f t="shared" ca="1" si="48"/>
        <v>9.6266344015959335E-2</v>
      </c>
      <c r="M822">
        <f t="shared" ca="1" si="49"/>
        <v>195.22804971679909</v>
      </c>
    </row>
    <row r="823" spans="9:13" x14ac:dyDescent="0.25">
      <c r="I823">
        <v>763</v>
      </c>
      <c r="J823">
        <f t="shared" ca="1" si="46"/>
        <v>0.10148210219498345</v>
      </c>
      <c r="K823">
        <f t="shared" ca="1" si="47"/>
        <v>0.43419680697173302</v>
      </c>
      <c r="L823">
        <f t="shared" ca="1" si="48"/>
        <v>0.10175179924872776</v>
      </c>
      <c r="M823">
        <f t="shared" ca="1" si="49"/>
        <v>232.50508970659325</v>
      </c>
    </row>
    <row r="824" spans="9:13" x14ac:dyDescent="0.25">
      <c r="I824">
        <v>764</v>
      </c>
      <c r="J824">
        <f t="shared" ca="1" si="46"/>
        <v>6.8689095610635631E-2</v>
      </c>
      <c r="K824">
        <f t="shared" ca="1" si="47"/>
        <v>0.40385305890565143</v>
      </c>
      <c r="L824">
        <f t="shared" ca="1" si="48"/>
        <v>0.10195152651580555</v>
      </c>
      <c r="M824">
        <f t="shared" ca="1" si="49"/>
        <v>185.13134078426486</v>
      </c>
    </row>
    <row r="825" spans="9:13" x14ac:dyDescent="0.25">
      <c r="I825">
        <v>765</v>
      </c>
      <c r="J825">
        <f t="shared" ca="1" si="46"/>
        <v>7.0819342212749145E-2</v>
      </c>
      <c r="K825">
        <f t="shared" ca="1" si="47"/>
        <v>0.43084653198852679</v>
      </c>
      <c r="L825">
        <f t="shared" ca="1" si="48"/>
        <v>0.10241228579937163</v>
      </c>
      <c r="M825">
        <f t="shared" ca="1" si="49"/>
        <v>198.42339167447565</v>
      </c>
    </row>
    <row r="826" spans="9:13" x14ac:dyDescent="0.25">
      <c r="I826">
        <v>766</v>
      </c>
      <c r="J826">
        <f t="shared" ca="1" si="46"/>
        <v>7.2034082132098054E-2</v>
      </c>
      <c r="K826">
        <f t="shared" ca="1" si="47"/>
        <v>0.39619482585054311</v>
      </c>
      <c r="L826">
        <f t="shared" ca="1" si="48"/>
        <v>0.13037597003651832</v>
      </c>
      <c r="M826">
        <f t="shared" ca="1" si="49"/>
        <v>134.96991654156534</v>
      </c>
    </row>
    <row r="827" spans="9:13" x14ac:dyDescent="0.25">
      <c r="I827">
        <v>767</v>
      </c>
      <c r="J827">
        <f t="shared" ca="1" si="46"/>
        <v>5.9287047812734216E-2</v>
      </c>
      <c r="K827">
        <f t="shared" ca="1" si="47"/>
        <v>0.42588123920701659</v>
      </c>
      <c r="L827">
        <f t="shared" ca="1" si="48"/>
        <v>0.11799340472139906</v>
      </c>
      <c r="M827">
        <f t="shared" ca="1" si="49"/>
        <v>154.75868929075037</v>
      </c>
    </row>
    <row r="828" spans="9:13" x14ac:dyDescent="0.25">
      <c r="I828">
        <v>768</v>
      </c>
      <c r="J828">
        <f t="shared" ca="1" si="46"/>
        <v>1.9348802297170842E-2</v>
      </c>
      <c r="K828">
        <f t="shared" ca="1" si="47"/>
        <v>0.43381783548376462</v>
      </c>
      <c r="L828">
        <f t="shared" ca="1" si="48"/>
        <v>0.11843140163294827</v>
      </c>
      <c r="M828">
        <f t="shared" ca="1" si="49"/>
        <v>129.22585609136183</v>
      </c>
    </row>
    <row r="829" spans="9:13" x14ac:dyDescent="0.25">
      <c r="I829">
        <v>769</v>
      </c>
      <c r="J829">
        <f t="shared" ca="1" si="46"/>
        <v>9.3303857252670902E-2</v>
      </c>
      <c r="K829">
        <f t="shared" ca="1" si="47"/>
        <v>0.46279281651750959</v>
      </c>
      <c r="L829">
        <f t="shared" ca="1" si="48"/>
        <v>0.1068322174273683</v>
      </c>
      <c r="M829">
        <f t="shared" ca="1" si="49"/>
        <v>224.08291117096354</v>
      </c>
    </row>
    <row r="830" spans="9:13" x14ac:dyDescent="0.25">
      <c r="I830">
        <v>770</v>
      </c>
      <c r="J830">
        <f t="shared" ref="J830:J893" ca="1" si="50">_xlfn.NORM.INV(RAND(),0.085,0.03)</f>
        <v>1.5928204611015628E-2</v>
      </c>
      <c r="K830">
        <f t="shared" ref="K830:K893" ca="1" si="51">_xlfn.NORM.INV(RAND(),0.435,0.03)</f>
        <v>0.3984741468361705</v>
      </c>
      <c r="L830">
        <f t="shared" ref="L830:L893" ca="1" si="52">_xlfn.NORM.INV(RAND(),0.1106,0.01)</f>
        <v>0.13578771016179958</v>
      </c>
      <c r="M830">
        <f t="shared" ref="M830:M893" ca="1" si="53">((416.161*(1+J830)^5*K830*(1-(1+L830)^-5)/L830)+(416.161*(1+J830)^5*K830*(1+0.025)/(L830-0.025)*(1+L830)^-5)-78.328+54.697)/15.02</f>
        <v>98.351111904640192</v>
      </c>
    </row>
    <row r="831" spans="9:13" x14ac:dyDescent="0.25">
      <c r="I831">
        <v>771</v>
      </c>
      <c r="J831">
        <f t="shared" ca="1" si="50"/>
        <v>5.0214890057581618E-3</v>
      </c>
      <c r="K831">
        <f t="shared" ca="1" si="51"/>
        <v>0.37660871941160529</v>
      </c>
      <c r="L831">
        <f t="shared" ca="1" si="52"/>
        <v>0.10407970630670808</v>
      </c>
      <c r="M831">
        <f t="shared" ca="1" si="53"/>
        <v>123.09740600483271</v>
      </c>
    </row>
    <row r="832" spans="9:13" x14ac:dyDescent="0.25">
      <c r="I832">
        <v>772</v>
      </c>
      <c r="J832">
        <f t="shared" ca="1" si="50"/>
        <v>3.3133185997980388E-2</v>
      </c>
      <c r="K832">
        <f t="shared" ca="1" si="51"/>
        <v>0.4620305957709932</v>
      </c>
      <c r="L832">
        <f t="shared" ca="1" si="52"/>
        <v>9.439176215251488E-2</v>
      </c>
      <c r="M832">
        <f t="shared" ca="1" si="53"/>
        <v>198.14624064153807</v>
      </c>
    </row>
    <row r="833" spans="9:13" x14ac:dyDescent="0.25">
      <c r="I833">
        <v>773</v>
      </c>
      <c r="J833">
        <f t="shared" ca="1" si="50"/>
        <v>9.6784524227739532E-2</v>
      </c>
      <c r="K833">
        <f t="shared" ca="1" si="51"/>
        <v>0.46551883823605306</v>
      </c>
      <c r="L833">
        <f t="shared" ca="1" si="52"/>
        <v>0.10334854746148046</v>
      </c>
      <c r="M833">
        <f t="shared" ca="1" si="53"/>
        <v>239.14931554397663</v>
      </c>
    </row>
    <row r="834" spans="9:13" x14ac:dyDescent="0.25">
      <c r="I834">
        <v>774</v>
      </c>
      <c r="J834">
        <f t="shared" ca="1" si="50"/>
        <v>7.6810944238413698E-2</v>
      </c>
      <c r="K834">
        <f t="shared" ca="1" si="51"/>
        <v>0.48100946793642579</v>
      </c>
      <c r="L834">
        <f t="shared" ca="1" si="52"/>
        <v>9.493585087672575E-2</v>
      </c>
      <c r="M834">
        <f t="shared" ca="1" si="53"/>
        <v>252.2153286682391</v>
      </c>
    </row>
    <row r="835" spans="9:13" x14ac:dyDescent="0.25">
      <c r="I835">
        <v>775</v>
      </c>
      <c r="J835">
        <f t="shared" ca="1" si="50"/>
        <v>9.0044104764203423E-2</v>
      </c>
      <c r="K835">
        <f t="shared" ca="1" si="51"/>
        <v>0.45203368659497062</v>
      </c>
      <c r="L835">
        <f t="shared" ca="1" si="52"/>
        <v>0.11547179417191811</v>
      </c>
      <c r="M835">
        <f t="shared" ca="1" si="53"/>
        <v>195.13801064282015</v>
      </c>
    </row>
    <row r="836" spans="9:13" x14ac:dyDescent="0.25">
      <c r="I836">
        <v>776</v>
      </c>
      <c r="J836">
        <f t="shared" ca="1" si="50"/>
        <v>0.1213889240851552</v>
      </c>
      <c r="K836">
        <f t="shared" ca="1" si="51"/>
        <v>0.41790174801646357</v>
      </c>
      <c r="L836">
        <f t="shared" ca="1" si="52"/>
        <v>0.12393336596405355</v>
      </c>
      <c r="M836">
        <f t="shared" ca="1" si="53"/>
        <v>190.33811512092331</v>
      </c>
    </row>
    <row r="837" spans="9:13" x14ac:dyDescent="0.25">
      <c r="I837">
        <v>777</v>
      </c>
      <c r="J837">
        <f t="shared" ca="1" si="50"/>
        <v>6.3147235999764378E-2</v>
      </c>
      <c r="K837">
        <f t="shared" ca="1" si="51"/>
        <v>0.49967440985964118</v>
      </c>
      <c r="L837">
        <f t="shared" ca="1" si="52"/>
        <v>0.1070557347550727</v>
      </c>
      <c r="M837">
        <f t="shared" ca="1" si="53"/>
        <v>209.69944096139668</v>
      </c>
    </row>
    <row r="838" spans="9:13" x14ac:dyDescent="0.25">
      <c r="I838">
        <v>778</v>
      </c>
      <c r="J838">
        <f t="shared" ca="1" si="50"/>
        <v>9.1914046519040463E-2</v>
      </c>
      <c r="K838">
        <f t="shared" ca="1" si="51"/>
        <v>0.42345395256072382</v>
      </c>
      <c r="L838">
        <f t="shared" ca="1" si="52"/>
        <v>9.6091918130316534E-2</v>
      </c>
      <c r="M838">
        <f t="shared" ca="1" si="53"/>
        <v>234.11848277395333</v>
      </c>
    </row>
    <row r="839" spans="9:13" x14ac:dyDescent="0.25">
      <c r="I839">
        <v>779</v>
      </c>
      <c r="J839">
        <f t="shared" ca="1" si="50"/>
        <v>8.0488550046770579E-2</v>
      </c>
      <c r="K839">
        <f t="shared" ca="1" si="51"/>
        <v>0.47662692945751994</v>
      </c>
      <c r="L839">
        <f t="shared" ca="1" si="52"/>
        <v>0.12243297634969293</v>
      </c>
      <c r="M839">
        <f t="shared" ca="1" si="53"/>
        <v>182.94951429418148</v>
      </c>
    </row>
    <row r="840" spans="9:13" x14ac:dyDescent="0.25">
      <c r="I840">
        <v>780</v>
      </c>
      <c r="J840">
        <f t="shared" ca="1" si="50"/>
        <v>2.9832195334169982E-2</v>
      </c>
      <c r="K840">
        <f t="shared" ca="1" si="51"/>
        <v>0.44373427349517991</v>
      </c>
      <c r="L840">
        <f t="shared" ca="1" si="52"/>
        <v>0.10842244889613657</v>
      </c>
      <c r="M840">
        <f t="shared" ca="1" si="53"/>
        <v>155.85327203573502</v>
      </c>
    </row>
    <row r="841" spans="9:13" x14ac:dyDescent="0.25">
      <c r="I841">
        <v>781</v>
      </c>
      <c r="J841">
        <f t="shared" ca="1" si="50"/>
        <v>6.7981636371917994E-2</v>
      </c>
      <c r="K841">
        <f t="shared" ca="1" si="51"/>
        <v>0.43148492319946413</v>
      </c>
      <c r="L841">
        <f t="shared" ca="1" si="52"/>
        <v>0.10776947108804245</v>
      </c>
      <c r="M841">
        <f t="shared" ca="1" si="53"/>
        <v>183.46804532166158</v>
      </c>
    </row>
    <row r="842" spans="9:13" x14ac:dyDescent="0.25">
      <c r="I842">
        <v>782</v>
      </c>
      <c r="J842">
        <f t="shared" ca="1" si="50"/>
        <v>6.2452654890549054E-2</v>
      </c>
      <c r="K842">
        <f t="shared" ca="1" si="51"/>
        <v>0.40363422876476274</v>
      </c>
      <c r="L842">
        <f t="shared" ca="1" si="52"/>
        <v>9.7429804810731241E-2</v>
      </c>
      <c r="M842">
        <f t="shared" ca="1" si="53"/>
        <v>190.79982218546485</v>
      </c>
    </row>
    <row r="843" spans="9:13" x14ac:dyDescent="0.25">
      <c r="I843">
        <v>783</v>
      </c>
      <c r="J843">
        <f t="shared" ca="1" si="50"/>
        <v>6.209016368704038E-2</v>
      </c>
      <c r="K843">
        <f t="shared" ca="1" si="51"/>
        <v>0.40147801969711017</v>
      </c>
      <c r="L843">
        <f t="shared" ca="1" si="52"/>
        <v>9.0277844556760883E-2</v>
      </c>
      <c r="M843">
        <f t="shared" ca="1" si="53"/>
        <v>210.0855796784771</v>
      </c>
    </row>
    <row r="844" spans="9:13" x14ac:dyDescent="0.25">
      <c r="I844">
        <v>784</v>
      </c>
      <c r="J844">
        <f t="shared" ca="1" si="50"/>
        <v>0.11000104017504422</v>
      </c>
      <c r="K844">
        <f t="shared" ca="1" si="51"/>
        <v>0.43989039179308387</v>
      </c>
      <c r="L844">
        <f t="shared" ca="1" si="52"/>
        <v>9.909156334192952E-2</v>
      </c>
      <c r="M844">
        <f t="shared" ca="1" si="53"/>
        <v>253.61089531192445</v>
      </c>
    </row>
    <row r="845" spans="9:13" x14ac:dyDescent="0.25">
      <c r="I845">
        <v>785</v>
      </c>
      <c r="J845">
        <f t="shared" ca="1" si="50"/>
        <v>7.0360946050669934E-2</v>
      </c>
      <c r="K845">
        <f t="shared" ca="1" si="51"/>
        <v>0.42078327851781749</v>
      </c>
      <c r="L845">
        <f t="shared" ca="1" si="52"/>
        <v>0.10180942678521637</v>
      </c>
      <c r="M845">
        <f t="shared" ca="1" si="53"/>
        <v>194.84226066520432</v>
      </c>
    </row>
    <row r="846" spans="9:13" x14ac:dyDescent="0.25">
      <c r="I846">
        <v>786</v>
      </c>
      <c r="J846">
        <f t="shared" ca="1" si="50"/>
        <v>9.7071547226560639E-2</v>
      </c>
      <c r="K846">
        <f t="shared" ca="1" si="51"/>
        <v>0.43412784740683691</v>
      </c>
      <c r="L846">
        <f t="shared" ca="1" si="52"/>
        <v>0.1068557876586148</v>
      </c>
      <c r="M846">
        <f t="shared" ca="1" si="53"/>
        <v>213.71749974582434</v>
      </c>
    </row>
    <row r="847" spans="9:13" x14ac:dyDescent="0.25">
      <c r="I847">
        <v>787</v>
      </c>
      <c r="J847">
        <f t="shared" ca="1" si="50"/>
        <v>5.8032134900877455E-2</v>
      </c>
      <c r="K847">
        <f t="shared" ca="1" si="51"/>
        <v>0.44683231543084129</v>
      </c>
      <c r="L847">
        <f t="shared" ca="1" si="52"/>
        <v>0.10278807944381811</v>
      </c>
      <c r="M847">
        <f t="shared" ca="1" si="53"/>
        <v>192.82165769910253</v>
      </c>
    </row>
    <row r="848" spans="9:13" x14ac:dyDescent="0.25">
      <c r="I848">
        <v>788</v>
      </c>
      <c r="J848">
        <f t="shared" ca="1" si="50"/>
        <v>6.7708471368116682E-2</v>
      </c>
      <c r="K848">
        <f t="shared" ca="1" si="51"/>
        <v>0.42773601868152039</v>
      </c>
      <c r="L848">
        <f t="shared" ca="1" si="52"/>
        <v>9.42427922743206E-2</v>
      </c>
      <c r="M848">
        <f t="shared" ca="1" si="53"/>
        <v>216.86488465589196</v>
      </c>
    </row>
    <row r="849" spans="9:13" x14ac:dyDescent="0.25">
      <c r="I849">
        <v>789</v>
      </c>
      <c r="J849">
        <f t="shared" ca="1" si="50"/>
        <v>7.482136992594067E-2</v>
      </c>
      <c r="K849">
        <f t="shared" ca="1" si="51"/>
        <v>0.46166944709430496</v>
      </c>
      <c r="L849">
        <f t="shared" ca="1" si="52"/>
        <v>9.9865722499552848E-2</v>
      </c>
      <c r="M849">
        <f t="shared" ca="1" si="53"/>
        <v>224.08611879072086</v>
      </c>
    </row>
    <row r="850" spans="9:13" x14ac:dyDescent="0.25">
      <c r="I850">
        <v>790</v>
      </c>
      <c r="J850">
        <f t="shared" ca="1" si="50"/>
        <v>6.3003817822635075E-2</v>
      </c>
      <c r="K850">
        <f t="shared" ca="1" si="51"/>
        <v>0.42622803417493293</v>
      </c>
      <c r="L850">
        <f t="shared" ca="1" si="52"/>
        <v>0.10811832891179492</v>
      </c>
      <c r="M850">
        <f t="shared" ca="1" si="53"/>
        <v>176.25510842804479</v>
      </c>
    </row>
    <row r="851" spans="9:13" x14ac:dyDescent="0.25">
      <c r="I851">
        <v>791</v>
      </c>
      <c r="J851">
        <f t="shared" ca="1" si="50"/>
        <v>0.12633948912086837</v>
      </c>
      <c r="K851">
        <f t="shared" ca="1" si="51"/>
        <v>0.42556215212164933</v>
      </c>
      <c r="L851">
        <f t="shared" ca="1" si="52"/>
        <v>0.12160591788331186</v>
      </c>
      <c r="M851">
        <f t="shared" ca="1" si="53"/>
        <v>202.93960977114006</v>
      </c>
    </row>
    <row r="852" spans="9:13" x14ac:dyDescent="0.25">
      <c r="I852">
        <v>792</v>
      </c>
      <c r="J852">
        <f t="shared" ca="1" si="50"/>
        <v>2.0121382680593672E-2</v>
      </c>
      <c r="K852">
        <f t="shared" ca="1" si="51"/>
        <v>0.44649273684359264</v>
      </c>
      <c r="L852">
        <f t="shared" ca="1" si="52"/>
        <v>0.1171847296964323</v>
      </c>
      <c r="M852">
        <f t="shared" ca="1" si="53"/>
        <v>135.35604493166593</v>
      </c>
    </row>
    <row r="853" spans="9:13" x14ac:dyDescent="0.25">
      <c r="I853">
        <v>793</v>
      </c>
      <c r="J853">
        <f t="shared" ca="1" si="50"/>
        <v>7.8527346699600584E-2</v>
      </c>
      <c r="K853">
        <f t="shared" ca="1" si="51"/>
        <v>0.41695210129423027</v>
      </c>
      <c r="L853">
        <f t="shared" ca="1" si="52"/>
        <v>0.11023686329700233</v>
      </c>
      <c r="M853">
        <f t="shared" ca="1" si="53"/>
        <v>180.88431907949771</v>
      </c>
    </row>
    <row r="854" spans="9:13" x14ac:dyDescent="0.25">
      <c r="I854">
        <v>794</v>
      </c>
      <c r="J854">
        <f t="shared" ca="1" si="50"/>
        <v>0.11702888058599774</v>
      </c>
      <c r="K854">
        <f t="shared" ca="1" si="51"/>
        <v>0.41269110701757483</v>
      </c>
      <c r="L854">
        <f t="shared" ca="1" si="52"/>
        <v>0.11063358378442217</v>
      </c>
      <c r="M854">
        <f t="shared" ca="1" si="53"/>
        <v>212.65723442325856</v>
      </c>
    </row>
    <row r="855" spans="9:13" x14ac:dyDescent="0.25">
      <c r="I855">
        <v>795</v>
      </c>
      <c r="J855">
        <f t="shared" ca="1" si="50"/>
        <v>9.7153759841491064E-2</v>
      </c>
      <c r="K855">
        <f t="shared" ca="1" si="51"/>
        <v>0.41077280570469965</v>
      </c>
      <c r="L855">
        <f t="shared" ca="1" si="52"/>
        <v>0.10736983121040491</v>
      </c>
      <c r="M855">
        <f t="shared" ca="1" si="53"/>
        <v>200.95884117470402</v>
      </c>
    </row>
    <row r="856" spans="9:13" x14ac:dyDescent="0.25">
      <c r="I856">
        <v>796</v>
      </c>
      <c r="J856">
        <f t="shared" ca="1" si="50"/>
        <v>5.6471022112234995E-2</v>
      </c>
      <c r="K856">
        <f t="shared" ca="1" si="51"/>
        <v>0.45220671204103979</v>
      </c>
      <c r="L856">
        <f t="shared" ca="1" si="52"/>
        <v>0.10189384793407688</v>
      </c>
      <c r="M856">
        <f t="shared" ca="1" si="53"/>
        <v>195.95112599385331</v>
      </c>
    </row>
    <row r="857" spans="9:13" x14ac:dyDescent="0.25">
      <c r="I857">
        <v>797</v>
      </c>
      <c r="J857">
        <f t="shared" ca="1" si="50"/>
        <v>0.10232334806890438</v>
      </c>
      <c r="K857">
        <f t="shared" ca="1" si="51"/>
        <v>0.39746904577692721</v>
      </c>
      <c r="L857">
        <f t="shared" ca="1" si="52"/>
        <v>0.10870189035938545</v>
      </c>
      <c r="M857">
        <f t="shared" ca="1" si="53"/>
        <v>195.91467441175732</v>
      </c>
    </row>
    <row r="858" spans="9:13" x14ac:dyDescent="0.25">
      <c r="I858">
        <v>798</v>
      </c>
      <c r="J858">
        <f t="shared" ca="1" si="50"/>
        <v>5.1137285812535918E-2</v>
      </c>
      <c r="K858">
        <f t="shared" ca="1" si="51"/>
        <v>0.42846149776379239</v>
      </c>
      <c r="L858">
        <f t="shared" ca="1" si="52"/>
        <v>0.10041063844517506</v>
      </c>
      <c r="M858">
        <f t="shared" ca="1" si="53"/>
        <v>184.4401497851108</v>
      </c>
    </row>
    <row r="859" spans="9:13" x14ac:dyDescent="0.25">
      <c r="I859">
        <v>799</v>
      </c>
      <c r="J859">
        <f t="shared" ca="1" si="50"/>
        <v>7.249836225498775E-2</v>
      </c>
      <c r="K859">
        <f t="shared" ca="1" si="51"/>
        <v>0.41334567503224479</v>
      </c>
      <c r="L859">
        <f t="shared" ca="1" si="52"/>
        <v>0.11344488606568781</v>
      </c>
      <c r="M859">
        <f t="shared" ca="1" si="53"/>
        <v>168.02432967773137</v>
      </c>
    </row>
    <row r="860" spans="9:13" x14ac:dyDescent="0.25">
      <c r="I860">
        <v>800</v>
      </c>
      <c r="J860">
        <f t="shared" ca="1" si="50"/>
        <v>8.8907290603253947E-2</v>
      </c>
      <c r="K860">
        <f t="shared" ca="1" si="51"/>
        <v>0.47338984997091543</v>
      </c>
      <c r="L860">
        <f t="shared" ca="1" si="52"/>
        <v>9.2792082263517872E-2</v>
      </c>
      <c r="M860">
        <f t="shared" ca="1" si="53"/>
        <v>270.7834189209081</v>
      </c>
    </row>
    <row r="861" spans="9:13" x14ac:dyDescent="0.25">
      <c r="I861">
        <v>801</v>
      </c>
      <c r="J861">
        <f t="shared" ca="1" si="50"/>
        <v>0.13544630797658197</v>
      </c>
      <c r="K861">
        <f t="shared" ca="1" si="51"/>
        <v>0.42025537108677186</v>
      </c>
      <c r="L861">
        <f t="shared" ca="1" si="52"/>
        <v>0.12420493471180048</v>
      </c>
      <c r="M861">
        <f t="shared" ca="1" si="53"/>
        <v>203.26974169871912</v>
      </c>
    </row>
    <row r="862" spans="9:13" x14ac:dyDescent="0.25">
      <c r="I862">
        <v>802</v>
      </c>
      <c r="J862">
        <f t="shared" ca="1" si="50"/>
        <v>9.8345090275748448E-2</v>
      </c>
      <c r="K862">
        <f t="shared" ca="1" si="51"/>
        <v>0.46173052852913465</v>
      </c>
      <c r="L862">
        <f t="shared" ca="1" si="52"/>
        <v>0.10602105277869137</v>
      </c>
      <c r="M862">
        <f t="shared" ca="1" si="53"/>
        <v>231.0757533549949</v>
      </c>
    </row>
    <row r="863" spans="9:13" x14ac:dyDescent="0.25">
      <c r="I863">
        <v>803</v>
      </c>
      <c r="J863">
        <f t="shared" ca="1" si="50"/>
        <v>6.5132082019642518E-2</v>
      </c>
      <c r="K863">
        <f t="shared" ca="1" si="51"/>
        <v>0.42832809874225641</v>
      </c>
      <c r="L863">
        <f t="shared" ca="1" si="52"/>
        <v>0.11113565173730529</v>
      </c>
      <c r="M863">
        <f t="shared" ca="1" si="53"/>
        <v>172.69899003835818</v>
      </c>
    </row>
    <row r="864" spans="9:13" x14ac:dyDescent="0.25">
      <c r="I864">
        <v>804</v>
      </c>
      <c r="J864">
        <f t="shared" ca="1" si="50"/>
        <v>7.4140223825230694E-2</v>
      </c>
      <c r="K864">
        <f t="shared" ca="1" si="51"/>
        <v>0.42813704452357276</v>
      </c>
      <c r="L864">
        <f t="shared" ca="1" si="52"/>
        <v>0.10748507266986582</v>
      </c>
      <c r="M864">
        <f t="shared" ca="1" si="53"/>
        <v>188.02934146115498</v>
      </c>
    </row>
    <row r="865" spans="9:13" x14ac:dyDescent="0.25">
      <c r="I865">
        <v>805</v>
      </c>
      <c r="J865">
        <f t="shared" ca="1" si="50"/>
        <v>7.4906464754263019E-2</v>
      </c>
      <c r="K865">
        <f t="shared" ca="1" si="51"/>
        <v>0.46682418665791214</v>
      </c>
      <c r="L865">
        <f t="shared" ca="1" si="52"/>
        <v>0.11142357839832719</v>
      </c>
      <c r="M865">
        <f t="shared" ca="1" si="53"/>
        <v>196.58588610727736</v>
      </c>
    </row>
    <row r="866" spans="9:13" x14ac:dyDescent="0.25">
      <c r="I866">
        <v>806</v>
      </c>
      <c r="J866">
        <f t="shared" ca="1" si="50"/>
        <v>0.12982473997708427</v>
      </c>
      <c r="K866">
        <f t="shared" ca="1" si="51"/>
        <v>0.41685342685915161</v>
      </c>
      <c r="L866">
        <f t="shared" ca="1" si="52"/>
        <v>0.11645670844578247</v>
      </c>
      <c r="M866">
        <f t="shared" ca="1" si="53"/>
        <v>213.13543823822388</v>
      </c>
    </row>
    <row r="867" spans="9:13" x14ac:dyDescent="0.25">
      <c r="I867">
        <v>807</v>
      </c>
      <c r="J867">
        <f t="shared" ca="1" si="50"/>
        <v>6.740713442526966E-2</v>
      </c>
      <c r="K867">
        <f t="shared" ca="1" si="51"/>
        <v>0.44431679845459066</v>
      </c>
      <c r="L867">
        <f t="shared" ca="1" si="52"/>
        <v>0.10253738988066151</v>
      </c>
      <c r="M867">
        <f t="shared" ca="1" si="53"/>
        <v>201.08815524463677</v>
      </c>
    </row>
    <row r="868" spans="9:13" x14ac:dyDescent="0.25">
      <c r="I868">
        <v>808</v>
      </c>
      <c r="J868">
        <f t="shared" ca="1" si="50"/>
        <v>7.7055997076732552E-2</v>
      </c>
      <c r="K868">
        <f t="shared" ca="1" si="51"/>
        <v>0.44569168861061359</v>
      </c>
      <c r="L868">
        <f t="shared" ca="1" si="52"/>
        <v>0.11714992334149171</v>
      </c>
      <c r="M868">
        <f t="shared" ca="1" si="53"/>
        <v>177.82164272275298</v>
      </c>
    </row>
    <row r="869" spans="9:13" x14ac:dyDescent="0.25">
      <c r="I869">
        <v>809</v>
      </c>
      <c r="J869">
        <f t="shared" ca="1" si="50"/>
        <v>8.1571535569336676E-2</v>
      </c>
      <c r="K869">
        <f t="shared" ca="1" si="51"/>
        <v>0.35861123193216421</v>
      </c>
      <c r="L869">
        <f t="shared" ca="1" si="52"/>
        <v>0.11832703884868828</v>
      </c>
      <c r="M869">
        <f t="shared" ca="1" si="53"/>
        <v>143.99307776769217</v>
      </c>
    </row>
    <row r="870" spans="9:13" x14ac:dyDescent="0.25">
      <c r="I870">
        <v>810</v>
      </c>
      <c r="J870">
        <f t="shared" ca="1" si="50"/>
        <v>0.11406570319587581</v>
      </c>
      <c r="K870">
        <f t="shared" ca="1" si="51"/>
        <v>0.43409795101469495</v>
      </c>
      <c r="L870">
        <f t="shared" ca="1" si="52"/>
        <v>0.13233566732876934</v>
      </c>
      <c r="M870">
        <f t="shared" ca="1" si="53"/>
        <v>176.50008888677758</v>
      </c>
    </row>
    <row r="871" spans="9:13" x14ac:dyDescent="0.25">
      <c r="I871">
        <v>811</v>
      </c>
      <c r="J871">
        <f t="shared" ca="1" si="50"/>
        <v>0.12390969009639936</v>
      </c>
      <c r="K871">
        <f t="shared" ca="1" si="51"/>
        <v>0.41138195388303067</v>
      </c>
      <c r="L871">
        <f t="shared" ca="1" si="52"/>
        <v>0.12155966120638234</v>
      </c>
      <c r="M871">
        <f t="shared" ca="1" si="53"/>
        <v>194.09390159052339</v>
      </c>
    </row>
    <row r="872" spans="9:13" x14ac:dyDescent="0.25">
      <c r="I872">
        <v>812</v>
      </c>
      <c r="J872">
        <f t="shared" ca="1" si="50"/>
        <v>5.5507453757452335E-2</v>
      </c>
      <c r="K872">
        <f t="shared" ca="1" si="51"/>
        <v>0.47593531896591834</v>
      </c>
      <c r="L872">
        <f t="shared" ca="1" si="52"/>
        <v>0.10491110036792457</v>
      </c>
      <c r="M872">
        <f t="shared" ca="1" si="53"/>
        <v>197.66639157564867</v>
      </c>
    </row>
    <row r="873" spans="9:13" x14ac:dyDescent="0.25">
      <c r="I873">
        <v>813</v>
      </c>
      <c r="J873">
        <f t="shared" ca="1" si="50"/>
        <v>0.12397970966761251</v>
      </c>
      <c r="K873">
        <f t="shared" ca="1" si="51"/>
        <v>0.45070461220293612</v>
      </c>
      <c r="L873">
        <f t="shared" ca="1" si="52"/>
        <v>9.6693989700768868E-2</v>
      </c>
      <c r="M873">
        <f t="shared" ca="1" si="53"/>
        <v>285.94613510615301</v>
      </c>
    </row>
    <row r="874" spans="9:13" x14ac:dyDescent="0.25">
      <c r="I874">
        <v>814</v>
      </c>
      <c r="J874">
        <f t="shared" ca="1" si="50"/>
        <v>2.26318005511758E-2</v>
      </c>
      <c r="K874">
        <f t="shared" ca="1" si="51"/>
        <v>0.42445130162279576</v>
      </c>
      <c r="L874">
        <f t="shared" ca="1" si="52"/>
        <v>0.12026607935600744</v>
      </c>
      <c r="M874">
        <f t="shared" ca="1" si="53"/>
        <v>126.01198554541743</v>
      </c>
    </row>
    <row r="875" spans="9:13" x14ac:dyDescent="0.25">
      <c r="I875">
        <v>815</v>
      </c>
      <c r="J875">
        <f t="shared" ca="1" si="50"/>
        <v>0.12766065370640597</v>
      </c>
      <c r="K875">
        <f t="shared" ca="1" si="51"/>
        <v>0.4120107036402274</v>
      </c>
      <c r="L875">
        <f t="shared" ca="1" si="52"/>
        <v>0.13554737995010993</v>
      </c>
      <c r="M875">
        <f t="shared" ca="1" si="53"/>
        <v>172.88155638509991</v>
      </c>
    </row>
    <row r="876" spans="9:13" x14ac:dyDescent="0.25">
      <c r="I876">
        <v>816</v>
      </c>
      <c r="J876">
        <f t="shared" ca="1" si="50"/>
        <v>0.1017770463789763</v>
      </c>
      <c r="K876">
        <f t="shared" ca="1" si="51"/>
        <v>0.45534666054828488</v>
      </c>
      <c r="L876">
        <f t="shared" ca="1" si="52"/>
        <v>0.11362392054193464</v>
      </c>
      <c r="M876">
        <f t="shared" ca="1" si="53"/>
        <v>211.76532791943652</v>
      </c>
    </row>
    <row r="877" spans="9:13" x14ac:dyDescent="0.25">
      <c r="I877">
        <v>817</v>
      </c>
      <c r="J877">
        <f t="shared" ca="1" si="50"/>
        <v>7.3135926149632491E-2</v>
      </c>
      <c r="K877">
        <f t="shared" ca="1" si="51"/>
        <v>0.44407983102241827</v>
      </c>
      <c r="L877">
        <f t="shared" ca="1" si="52"/>
        <v>0.11423407805694399</v>
      </c>
      <c r="M877">
        <f t="shared" ca="1" si="53"/>
        <v>179.58597192418918</v>
      </c>
    </row>
    <row r="878" spans="9:13" x14ac:dyDescent="0.25">
      <c r="I878">
        <v>818</v>
      </c>
      <c r="J878">
        <f t="shared" ca="1" si="50"/>
        <v>4.4491743671210449E-2</v>
      </c>
      <c r="K878">
        <f t="shared" ca="1" si="51"/>
        <v>0.43444748103050079</v>
      </c>
      <c r="L878">
        <f t="shared" ca="1" si="52"/>
        <v>0.11266253599583015</v>
      </c>
      <c r="M878">
        <f t="shared" ca="1" si="53"/>
        <v>155.964186855159</v>
      </c>
    </row>
    <row r="879" spans="9:13" x14ac:dyDescent="0.25">
      <c r="I879">
        <v>819</v>
      </c>
      <c r="J879">
        <f t="shared" ca="1" si="50"/>
        <v>6.550426136134288E-2</v>
      </c>
      <c r="K879">
        <f t="shared" ca="1" si="51"/>
        <v>0.43214215468826828</v>
      </c>
      <c r="L879">
        <f t="shared" ca="1" si="52"/>
        <v>9.6025429164462578E-2</v>
      </c>
      <c r="M879">
        <f t="shared" ca="1" si="53"/>
        <v>211.43644836689938</v>
      </c>
    </row>
    <row r="880" spans="9:13" x14ac:dyDescent="0.25">
      <c r="I880">
        <v>820</v>
      </c>
      <c r="J880">
        <f t="shared" ca="1" si="50"/>
        <v>4.0018419510320452E-2</v>
      </c>
      <c r="K880">
        <f t="shared" ca="1" si="51"/>
        <v>0.43972410871963263</v>
      </c>
      <c r="L880">
        <f t="shared" ca="1" si="52"/>
        <v>0.12123132391032578</v>
      </c>
      <c r="M880">
        <f t="shared" ca="1" si="53"/>
        <v>140.80895566617338</v>
      </c>
    </row>
    <row r="881" spans="9:13" x14ac:dyDescent="0.25">
      <c r="I881">
        <v>821</v>
      </c>
      <c r="J881">
        <f t="shared" ca="1" si="50"/>
        <v>6.3417768334535038E-2</v>
      </c>
      <c r="K881">
        <f t="shared" ca="1" si="51"/>
        <v>0.46849212786001693</v>
      </c>
      <c r="L881">
        <f t="shared" ca="1" si="52"/>
        <v>0.1126479352975274</v>
      </c>
      <c r="M881">
        <f t="shared" ca="1" si="53"/>
        <v>184.29898887565938</v>
      </c>
    </row>
    <row r="882" spans="9:13" x14ac:dyDescent="0.25">
      <c r="I882">
        <v>822</v>
      </c>
      <c r="J882">
        <f t="shared" ca="1" si="50"/>
        <v>6.318698019065784E-2</v>
      </c>
      <c r="K882">
        <f t="shared" ca="1" si="51"/>
        <v>0.47720301054273145</v>
      </c>
      <c r="L882">
        <f t="shared" ca="1" si="52"/>
        <v>0.10708028280579945</v>
      </c>
      <c r="M882">
        <f t="shared" ca="1" si="53"/>
        <v>200.17632594204321</v>
      </c>
    </row>
    <row r="883" spans="9:13" x14ac:dyDescent="0.25">
      <c r="I883">
        <v>823</v>
      </c>
      <c r="J883">
        <f t="shared" ca="1" si="50"/>
        <v>8.6731113380549424E-2</v>
      </c>
      <c r="K883">
        <f t="shared" ca="1" si="51"/>
        <v>0.3973814593461194</v>
      </c>
      <c r="L883">
        <f t="shared" ca="1" si="52"/>
        <v>0.11423624147445299</v>
      </c>
      <c r="M883">
        <f t="shared" ca="1" si="53"/>
        <v>171.06358418234956</v>
      </c>
    </row>
    <row r="884" spans="9:13" x14ac:dyDescent="0.25">
      <c r="I884">
        <v>824</v>
      </c>
      <c r="J884">
        <f t="shared" ca="1" si="50"/>
        <v>7.4765773893605281E-2</v>
      </c>
      <c r="K884">
        <f t="shared" ca="1" si="51"/>
        <v>0.39681348222422663</v>
      </c>
      <c r="L884">
        <f t="shared" ca="1" si="52"/>
        <v>0.11355509605634738</v>
      </c>
      <c r="M884">
        <f t="shared" ca="1" si="53"/>
        <v>162.76788013766958</v>
      </c>
    </row>
    <row r="885" spans="9:13" x14ac:dyDescent="0.25">
      <c r="I885">
        <v>825</v>
      </c>
      <c r="J885">
        <f t="shared" ca="1" si="50"/>
        <v>7.722891603727966E-2</v>
      </c>
      <c r="K885">
        <f t="shared" ca="1" si="51"/>
        <v>0.42627825575184014</v>
      </c>
      <c r="L885">
        <f t="shared" ca="1" si="52"/>
        <v>0.10738772888051668</v>
      </c>
      <c r="M885">
        <f t="shared" ca="1" si="53"/>
        <v>190.15889225037827</v>
      </c>
    </row>
    <row r="886" spans="9:13" x14ac:dyDescent="0.25">
      <c r="I886">
        <v>826</v>
      </c>
      <c r="J886">
        <f t="shared" ca="1" si="50"/>
        <v>5.9708328861405174E-2</v>
      </c>
      <c r="K886">
        <f t="shared" ca="1" si="51"/>
        <v>0.40750266527993928</v>
      </c>
      <c r="L886">
        <f t="shared" ca="1" si="52"/>
        <v>0.10799699517026412</v>
      </c>
      <c r="M886">
        <f t="shared" ca="1" si="53"/>
        <v>166.06455937441652</v>
      </c>
    </row>
    <row r="887" spans="9:13" x14ac:dyDescent="0.25">
      <c r="I887">
        <v>827</v>
      </c>
      <c r="J887">
        <f t="shared" ca="1" si="50"/>
        <v>9.9772391576796918E-2</v>
      </c>
      <c r="K887">
        <f t="shared" ca="1" si="51"/>
        <v>0.42278516496317337</v>
      </c>
      <c r="L887">
        <f t="shared" ca="1" si="52"/>
        <v>0.11095330453411438</v>
      </c>
      <c r="M887">
        <f t="shared" ca="1" si="53"/>
        <v>200.71671786211897</v>
      </c>
    </row>
    <row r="888" spans="9:13" x14ac:dyDescent="0.25">
      <c r="I888">
        <v>828</v>
      </c>
      <c r="J888">
        <f t="shared" ca="1" si="50"/>
        <v>7.934794800152703E-2</v>
      </c>
      <c r="K888">
        <f t="shared" ca="1" si="51"/>
        <v>0.40914332891855287</v>
      </c>
      <c r="L888">
        <f t="shared" ca="1" si="52"/>
        <v>0.11300950871405455</v>
      </c>
      <c r="M888">
        <f t="shared" ca="1" si="53"/>
        <v>172.57354208491756</v>
      </c>
    </row>
    <row r="889" spans="9:13" x14ac:dyDescent="0.25">
      <c r="I889">
        <v>829</v>
      </c>
      <c r="J889">
        <f t="shared" ca="1" si="50"/>
        <v>0.11153741469831027</v>
      </c>
      <c r="K889">
        <f t="shared" ca="1" si="51"/>
        <v>0.45396589308518903</v>
      </c>
      <c r="L889">
        <f t="shared" ca="1" si="52"/>
        <v>0.11442751520629749</v>
      </c>
      <c r="M889">
        <f t="shared" ca="1" si="53"/>
        <v>218.74162627756903</v>
      </c>
    </row>
    <row r="890" spans="9:13" x14ac:dyDescent="0.25">
      <c r="I890">
        <v>830</v>
      </c>
      <c r="J890">
        <f t="shared" ca="1" si="50"/>
        <v>5.3442296729378454E-2</v>
      </c>
      <c r="K890">
        <f t="shared" ca="1" si="51"/>
        <v>0.47657647289558203</v>
      </c>
      <c r="L890">
        <f t="shared" ca="1" si="52"/>
        <v>0.11222405229340873</v>
      </c>
      <c r="M890">
        <f t="shared" ca="1" si="53"/>
        <v>179.66576817268063</v>
      </c>
    </row>
    <row r="891" spans="9:13" x14ac:dyDescent="0.25">
      <c r="I891">
        <v>831</v>
      </c>
      <c r="J891">
        <f t="shared" ca="1" si="50"/>
        <v>9.4453332175510926E-2</v>
      </c>
      <c r="K891">
        <f t="shared" ca="1" si="51"/>
        <v>0.44629853320017054</v>
      </c>
      <c r="L891">
        <f t="shared" ca="1" si="52"/>
        <v>0.10906887924179422</v>
      </c>
      <c r="M891">
        <f t="shared" ca="1" si="53"/>
        <v>211.45276767900134</v>
      </c>
    </row>
    <row r="892" spans="9:13" x14ac:dyDescent="0.25">
      <c r="I892">
        <v>832</v>
      </c>
      <c r="J892">
        <f t="shared" ca="1" si="50"/>
        <v>9.6782386564899847E-2</v>
      </c>
      <c r="K892">
        <f t="shared" ca="1" si="51"/>
        <v>0.45169525055360427</v>
      </c>
      <c r="L892">
        <f t="shared" ca="1" si="52"/>
        <v>0.11306553143003215</v>
      </c>
      <c r="M892">
        <f t="shared" ca="1" si="53"/>
        <v>206.59212431237842</v>
      </c>
    </row>
    <row r="893" spans="9:13" x14ac:dyDescent="0.25">
      <c r="I893">
        <v>833</v>
      </c>
      <c r="J893">
        <f t="shared" ca="1" si="50"/>
        <v>0.10886941820531054</v>
      </c>
      <c r="K893">
        <f t="shared" ca="1" si="51"/>
        <v>0.42117192327587855</v>
      </c>
      <c r="L893">
        <f t="shared" ca="1" si="52"/>
        <v>9.5644059575701962E-2</v>
      </c>
      <c r="M893">
        <f t="shared" ca="1" si="53"/>
        <v>253.20662798054323</v>
      </c>
    </row>
    <row r="894" spans="9:13" x14ac:dyDescent="0.25">
      <c r="I894">
        <v>834</v>
      </c>
      <c r="J894">
        <f t="shared" ref="J894:J957" ca="1" si="54">_xlfn.NORM.INV(RAND(),0.085,0.03)</f>
        <v>8.8347552755814782E-2</v>
      </c>
      <c r="K894">
        <f t="shared" ref="K894:K957" ca="1" si="55">_xlfn.NORM.INV(RAND(),0.435,0.03)</f>
        <v>0.47943709591315026</v>
      </c>
      <c r="L894">
        <f t="shared" ref="L894:L957" ca="1" si="56">_xlfn.NORM.INV(RAND(),0.1106,0.01)</f>
        <v>0.12311440248863022</v>
      </c>
      <c r="M894">
        <f t="shared" ref="M894:M957" ca="1" si="57">((416.161*(1+J894)^5*K894*(1-(1+L894)^-5)/L894)+(416.161*(1+J894)^5*K894*(1+0.025)/(L894-0.025)*(1+L894)^-5)-78.328+54.697)/15.02</f>
        <v>189.57226135981966</v>
      </c>
    </row>
    <row r="895" spans="9:13" x14ac:dyDescent="0.25">
      <c r="I895">
        <v>835</v>
      </c>
      <c r="J895">
        <f t="shared" ca="1" si="54"/>
        <v>0.14643364040686047</v>
      </c>
      <c r="K895">
        <f t="shared" ca="1" si="55"/>
        <v>0.42513186268789066</v>
      </c>
      <c r="L895">
        <f t="shared" ca="1" si="56"/>
        <v>9.5936717715193881E-2</v>
      </c>
      <c r="M895">
        <f t="shared" ca="1" si="57"/>
        <v>300.97912994789209</v>
      </c>
    </row>
    <row r="896" spans="9:13" x14ac:dyDescent="0.25">
      <c r="I896">
        <v>836</v>
      </c>
      <c r="J896">
        <f t="shared" ca="1" si="54"/>
        <v>5.6219264219068414E-2</v>
      </c>
      <c r="K896">
        <f t="shared" ca="1" si="55"/>
        <v>0.46964331097959927</v>
      </c>
      <c r="L896">
        <f t="shared" ca="1" si="56"/>
        <v>0.10551953331153764</v>
      </c>
      <c r="M896">
        <f t="shared" ca="1" si="57"/>
        <v>194.22734199404479</v>
      </c>
    </row>
    <row r="897" spans="9:13" x14ac:dyDescent="0.25">
      <c r="I897">
        <v>837</v>
      </c>
      <c r="J897">
        <f t="shared" ca="1" si="54"/>
        <v>4.9833626547287853E-2</v>
      </c>
      <c r="K897">
        <f t="shared" ca="1" si="55"/>
        <v>0.41773537120536308</v>
      </c>
      <c r="L897">
        <f t="shared" ca="1" si="56"/>
        <v>0.10093854895029947</v>
      </c>
      <c r="M897">
        <f t="shared" ca="1" si="57"/>
        <v>177.42623991603659</v>
      </c>
    </row>
    <row r="898" spans="9:13" x14ac:dyDescent="0.25">
      <c r="I898">
        <v>838</v>
      </c>
      <c r="J898">
        <f t="shared" ca="1" si="54"/>
        <v>9.7733576894383917E-2</v>
      </c>
      <c r="K898">
        <f t="shared" ca="1" si="55"/>
        <v>0.46516212238021992</v>
      </c>
      <c r="L898">
        <f t="shared" ca="1" si="56"/>
        <v>0.10467792835727593</v>
      </c>
      <c r="M898">
        <f t="shared" ca="1" si="57"/>
        <v>236.03468613670492</v>
      </c>
    </row>
    <row r="899" spans="9:13" x14ac:dyDescent="0.25">
      <c r="I899">
        <v>839</v>
      </c>
      <c r="J899">
        <f t="shared" ca="1" si="54"/>
        <v>9.1152248739165095E-2</v>
      </c>
      <c r="K899">
        <f t="shared" ca="1" si="55"/>
        <v>0.48572256233921196</v>
      </c>
      <c r="L899">
        <f t="shared" ca="1" si="56"/>
        <v>0.10599387424729724</v>
      </c>
      <c r="M899">
        <f t="shared" ca="1" si="57"/>
        <v>235.33333839939226</v>
      </c>
    </row>
    <row r="900" spans="9:13" x14ac:dyDescent="0.25">
      <c r="I900">
        <v>840</v>
      </c>
      <c r="J900">
        <f t="shared" ca="1" si="54"/>
        <v>0.13624571504406835</v>
      </c>
      <c r="K900">
        <f t="shared" ca="1" si="55"/>
        <v>0.45397848157323151</v>
      </c>
      <c r="L900">
        <f t="shared" ca="1" si="56"/>
        <v>0.10577420322946043</v>
      </c>
      <c r="M900">
        <f t="shared" ca="1" si="57"/>
        <v>270.27139024781798</v>
      </c>
    </row>
    <row r="901" spans="9:13" x14ac:dyDescent="0.25">
      <c r="I901">
        <v>841</v>
      </c>
      <c r="J901">
        <f t="shared" ca="1" si="54"/>
        <v>7.9072778956319492E-2</v>
      </c>
      <c r="K901">
        <f t="shared" ca="1" si="55"/>
        <v>0.45929901032046749</v>
      </c>
      <c r="L901">
        <f t="shared" ca="1" si="56"/>
        <v>0.11521293220312923</v>
      </c>
      <c r="M901">
        <f t="shared" ca="1" si="57"/>
        <v>188.97803127552498</v>
      </c>
    </row>
    <row r="902" spans="9:13" x14ac:dyDescent="0.25">
      <c r="I902">
        <v>842</v>
      </c>
      <c r="J902">
        <f t="shared" ca="1" si="54"/>
        <v>0.1033764230770606</v>
      </c>
      <c r="K902">
        <f t="shared" ca="1" si="55"/>
        <v>0.38049554775956962</v>
      </c>
      <c r="L902">
        <f t="shared" ca="1" si="56"/>
        <v>0.10377028530910372</v>
      </c>
      <c r="M902">
        <f t="shared" ca="1" si="57"/>
        <v>200.0976511167257</v>
      </c>
    </row>
    <row r="903" spans="9:13" x14ac:dyDescent="0.25">
      <c r="I903">
        <v>843</v>
      </c>
      <c r="J903">
        <f t="shared" ca="1" si="54"/>
        <v>9.9580102516119803E-2</v>
      </c>
      <c r="K903">
        <f t="shared" ca="1" si="55"/>
        <v>0.42583853519541937</v>
      </c>
      <c r="L903">
        <f t="shared" ca="1" si="56"/>
        <v>9.7176144015886631E-2</v>
      </c>
      <c r="M903">
        <f t="shared" ca="1" si="57"/>
        <v>240.24585750163607</v>
      </c>
    </row>
    <row r="904" spans="9:13" x14ac:dyDescent="0.25">
      <c r="I904">
        <v>844</v>
      </c>
      <c r="J904">
        <f t="shared" ca="1" si="54"/>
        <v>9.8378305553783477E-2</v>
      </c>
      <c r="K904">
        <f t="shared" ca="1" si="55"/>
        <v>0.41253452611198477</v>
      </c>
      <c r="L904">
        <f t="shared" ca="1" si="56"/>
        <v>0.11255564940215725</v>
      </c>
      <c r="M904">
        <f t="shared" ca="1" si="57"/>
        <v>191.02977219466609</v>
      </c>
    </row>
    <row r="905" spans="9:13" x14ac:dyDescent="0.25">
      <c r="I905">
        <v>845</v>
      </c>
      <c r="J905">
        <f t="shared" ca="1" si="54"/>
        <v>5.4951156093818516E-2</v>
      </c>
      <c r="K905">
        <f t="shared" ca="1" si="55"/>
        <v>0.39887618402906444</v>
      </c>
      <c r="L905">
        <f t="shared" ca="1" si="56"/>
        <v>0.11446272838078148</v>
      </c>
      <c r="M905">
        <f t="shared" ca="1" si="57"/>
        <v>147.44234249351965</v>
      </c>
    </row>
    <row r="906" spans="9:13" x14ac:dyDescent="0.25">
      <c r="I906">
        <v>846</v>
      </c>
      <c r="J906">
        <f t="shared" ca="1" si="54"/>
        <v>0.13289700972262158</v>
      </c>
      <c r="K906">
        <f t="shared" ca="1" si="55"/>
        <v>0.45322207655224334</v>
      </c>
      <c r="L906">
        <f t="shared" ca="1" si="56"/>
        <v>0.12531110353995595</v>
      </c>
      <c r="M906">
        <f t="shared" ca="1" si="57"/>
        <v>214.50150309571563</v>
      </c>
    </row>
    <row r="907" spans="9:13" x14ac:dyDescent="0.25">
      <c r="I907">
        <v>847</v>
      </c>
      <c r="J907">
        <f t="shared" ca="1" si="54"/>
        <v>0.10327915770244397</v>
      </c>
      <c r="K907">
        <f t="shared" ca="1" si="55"/>
        <v>0.49272060232892195</v>
      </c>
      <c r="L907">
        <f t="shared" ca="1" si="56"/>
        <v>0.11503663450820285</v>
      </c>
      <c r="M907">
        <f t="shared" ca="1" si="57"/>
        <v>227.26390882135019</v>
      </c>
    </row>
    <row r="908" spans="9:13" x14ac:dyDescent="0.25">
      <c r="I908">
        <v>848</v>
      </c>
      <c r="J908">
        <f t="shared" ca="1" si="54"/>
        <v>0.100429108536749</v>
      </c>
      <c r="K908">
        <f t="shared" ca="1" si="55"/>
        <v>0.47754482569031981</v>
      </c>
      <c r="L908">
        <f t="shared" ca="1" si="56"/>
        <v>0.11537535457305735</v>
      </c>
      <c r="M908">
        <f t="shared" ca="1" si="57"/>
        <v>216.55825252497485</v>
      </c>
    </row>
    <row r="909" spans="9:13" x14ac:dyDescent="0.25">
      <c r="I909">
        <v>849</v>
      </c>
      <c r="J909">
        <f t="shared" ca="1" si="54"/>
        <v>4.0951499814128912E-2</v>
      </c>
      <c r="K909">
        <f t="shared" ca="1" si="55"/>
        <v>0.43304435018675352</v>
      </c>
      <c r="L909">
        <f t="shared" ca="1" si="56"/>
        <v>9.975480141698255E-2</v>
      </c>
      <c r="M909">
        <f t="shared" ca="1" si="57"/>
        <v>179.04454929521663</v>
      </c>
    </row>
    <row r="910" spans="9:13" x14ac:dyDescent="0.25">
      <c r="I910">
        <v>850</v>
      </c>
      <c r="J910">
        <f t="shared" ca="1" si="54"/>
        <v>4.8965955010173791E-2</v>
      </c>
      <c r="K910">
        <f t="shared" ca="1" si="55"/>
        <v>0.43367446882627142</v>
      </c>
      <c r="L910">
        <f t="shared" ca="1" si="56"/>
        <v>9.9017128413951355E-2</v>
      </c>
      <c r="M910">
        <f t="shared" ca="1" si="57"/>
        <v>188.22559068591593</v>
      </c>
    </row>
    <row r="911" spans="9:13" x14ac:dyDescent="0.25">
      <c r="I911">
        <v>851</v>
      </c>
      <c r="J911">
        <f t="shared" ca="1" si="54"/>
        <v>4.4178038833017685E-2</v>
      </c>
      <c r="K911">
        <f t="shared" ca="1" si="55"/>
        <v>0.43524505920667272</v>
      </c>
      <c r="L911">
        <f t="shared" ca="1" si="56"/>
        <v>0.11139124597227598</v>
      </c>
      <c r="M911">
        <f t="shared" ca="1" si="57"/>
        <v>158.29932595029436</v>
      </c>
    </row>
    <row r="912" spans="9:13" x14ac:dyDescent="0.25">
      <c r="I912">
        <v>852</v>
      </c>
      <c r="J912">
        <f t="shared" ca="1" si="54"/>
        <v>6.5301945796586935E-2</v>
      </c>
      <c r="K912">
        <f t="shared" ca="1" si="55"/>
        <v>0.41535758844424842</v>
      </c>
      <c r="L912">
        <f t="shared" ca="1" si="56"/>
        <v>9.7790753737046598E-2</v>
      </c>
      <c r="M912">
        <f t="shared" ca="1" si="57"/>
        <v>198.0746210019783</v>
      </c>
    </row>
    <row r="913" spans="9:13" x14ac:dyDescent="0.25">
      <c r="I913">
        <v>853</v>
      </c>
      <c r="J913">
        <f t="shared" ca="1" si="54"/>
        <v>0.11275065060396466</v>
      </c>
      <c r="K913">
        <f t="shared" ca="1" si="55"/>
        <v>0.49629537893996922</v>
      </c>
      <c r="L913">
        <f t="shared" ca="1" si="56"/>
        <v>8.6765006119371116E-2</v>
      </c>
      <c r="M913">
        <f t="shared" ca="1" si="57"/>
        <v>347.26474358103951</v>
      </c>
    </row>
    <row r="914" spans="9:13" x14ac:dyDescent="0.25">
      <c r="I914">
        <v>854</v>
      </c>
      <c r="J914">
        <f t="shared" ca="1" si="54"/>
        <v>0.14678429501302756</v>
      </c>
      <c r="K914">
        <f t="shared" ca="1" si="55"/>
        <v>0.4401577906442215</v>
      </c>
      <c r="L914">
        <f t="shared" ca="1" si="56"/>
        <v>9.5649537791449982E-2</v>
      </c>
      <c r="M914">
        <f t="shared" ca="1" si="57"/>
        <v>313.41006567654233</v>
      </c>
    </row>
    <row r="915" spans="9:13" x14ac:dyDescent="0.25">
      <c r="I915">
        <v>855</v>
      </c>
      <c r="J915">
        <f t="shared" ca="1" si="54"/>
        <v>8.1376565662022518E-2</v>
      </c>
      <c r="K915">
        <f t="shared" ca="1" si="55"/>
        <v>0.41497137270505963</v>
      </c>
      <c r="L915">
        <f t="shared" ca="1" si="56"/>
        <v>9.5959391709162678E-2</v>
      </c>
      <c r="M915">
        <f t="shared" ca="1" si="57"/>
        <v>218.87073755275745</v>
      </c>
    </row>
    <row r="916" spans="9:13" x14ac:dyDescent="0.25">
      <c r="I916">
        <v>856</v>
      </c>
      <c r="J916">
        <f t="shared" ca="1" si="54"/>
        <v>8.4848347509749719E-2</v>
      </c>
      <c r="K916">
        <f t="shared" ca="1" si="55"/>
        <v>0.41837380187578344</v>
      </c>
      <c r="L916">
        <f t="shared" ca="1" si="56"/>
        <v>9.2583745102964188E-2</v>
      </c>
      <c r="M916">
        <f t="shared" ca="1" si="57"/>
        <v>235.39685757661164</v>
      </c>
    </row>
    <row r="917" spans="9:13" x14ac:dyDescent="0.25">
      <c r="I917">
        <v>857</v>
      </c>
      <c r="J917">
        <f t="shared" ca="1" si="54"/>
        <v>9.5761138252034056E-2</v>
      </c>
      <c r="K917">
        <f t="shared" ca="1" si="55"/>
        <v>0.4373348877945763</v>
      </c>
      <c r="L917">
        <f t="shared" ca="1" si="56"/>
        <v>9.5873943482175802E-2</v>
      </c>
      <c r="M917">
        <f t="shared" ca="1" si="57"/>
        <v>246.91463659885073</v>
      </c>
    </row>
    <row r="918" spans="9:13" x14ac:dyDescent="0.25">
      <c r="I918">
        <v>858</v>
      </c>
      <c r="J918">
        <f t="shared" ca="1" si="54"/>
        <v>8.6488870353364999E-2</v>
      </c>
      <c r="K918">
        <f t="shared" ca="1" si="55"/>
        <v>0.4426494508960509</v>
      </c>
      <c r="L918">
        <f t="shared" ca="1" si="56"/>
        <v>9.9657192200440753E-2</v>
      </c>
      <c r="M918">
        <f t="shared" ca="1" si="57"/>
        <v>227.41942601097406</v>
      </c>
    </row>
    <row r="919" spans="9:13" x14ac:dyDescent="0.25">
      <c r="I919">
        <v>859</v>
      </c>
      <c r="J919">
        <f t="shared" ca="1" si="54"/>
        <v>6.0726227950920628E-2</v>
      </c>
      <c r="K919">
        <f t="shared" ca="1" si="55"/>
        <v>0.47638053010124642</v>
      </c>
      <c r="L919">
        <f t="shared" ca="1" si="56"/>
        <v>0.11309369081541419</v>
      </c>
      <c r="M919">
        <f t="shared" ca="1" si="57"/>
        <v>184.11930143292906</v>
      </c>
    </row>
    <row r="920" spans="9:13" x14ac:dyDescent="0.25">
      <c r="I920">
        <v>860</v>
      </c>
      <c r="J920">
        <f t="shared" ca="1" si="54"/>
        <v>3.7745351708251683E-2</v>
      </c>
      <c r="K920">
        <f t="shared" ca="1" si="55"/>
        <v>0.41000143485736767</v>
      </c>
      <c r="L920">
        <f t="shared" ca="1" si="56"/>
        <v>0.10731034670719661</v>
      </c>
      <c r="M920">
        <f t="shared" ca="1" si="57"/>
        <v>151.57183721465765</v>
      </c>
    </row>
    <row r="921" spans="9:13" x14ac:dyDescent="0.25">
      <c r="I921">
        <v>861</v>
      </c>
      <c r="J921">
        <f t="shared" ca="1" si="54"/>
        <v>8.9601622971046305E-2</v>
      </c>
      <c r="K921">
        <f t="shared" ca="1" si="55"/>
        <v>0.49604894917296788</v>
      </c>
      <c r="L921">
        <f t="shared" ca="1" si="56"/>
        <v>0.11920744396665864</v>
      </c>
      <c r="M921">
        <f t="shared" ca="1" si="57"/>
        <v>205.44699432501972</v>
      </c>
    </row>
    <row r="922" spans="9:13" x14ac:dyDescent="0.25">
      <c r="I922">
        <v>862</v>
      </c>
      <c r="J922">
        <f t="shared" ca="1" si="54"/>
        <v>5.6282756024860561E-2</v>
      </c>
      <c r="K922">
        <f t="shared" ca="1" si="55"/>
        <v>0.42547818101363871</v>
      </c>
      <c r="L922">
        <f t="shared" ca="1" si="56"/>
        <v>9.5580075936512049E-2</v>
      </c>
      <c r="M922">
        <f t="shared" ca="1" si="57"/>
        <v>200.48201291228534</v>
      </c>
    </row>
    <row r="923" spans="9:13" x14ac:dyDescent="0.25">
      <c r="I923">
        <v>863</v>
      </c>
      <c r="J923">
        <f t="shared" ca="1" si="54"/>
        <v>5.2195492119503653E-2</v>
      </c>
      <c r="K923">
        <f t="shared" ca="1" si="55"/>
        <v>0.43237658192232892</v>
      </c>
      <c r="L923">
        <f t="shared" ca="1" si="56"/>
        <v>9.5640511390472471E-2</v>
      </c>
      <c r="M923">
        <f t="shared" ca="1" si="57"/>
        <v>199.64600135252192</v>
      </c>
    </row>
    <row r="924" spans="9:13" x14ac:dyDescent="0.25">
      <c r="I924">
        <v>864</v>
      </c>
      <c r="J924">
        <f t="shared" ca="1" si="54"/>
        <v>0.1289872018974289</v>
      </c>
      <c r="K924">
        <f t="shared" ca="1" si="55"/>
        <v>0.43402544658826536</v>
      </c>
      <c r="L924">
        <f t="shared" ca="1" si="56"/>
        <v>9.9764839635548538E-2</v>
      </c>
      <c r="M924">
        <f t="shared" ca="1" si="57"/>
        <v>270.05724250584979</v>
      </c>
    </row>
    <row r="925" spans="9:13" x14ac:dyDescent="0.25">
      <c r="I925">
        <v>865</v>
      </c>
      <c r="J925">
        <f t="shared" ca="1" si="54"/>
        <v>0.11449096292528578</v>
      </c>
      <c r="K925">
        <f t="shared" ca="1" si="55"/>
        <v>0.46302812718731812</v>
      </c>
      <c r="L925">
        <f t="shared" ca="1" si="56"/>
        <v>0.12087829437420708</v>
      </c>
      <c r="M925">
        <f t="shared" ca="1" si="57"/>
        <v>211.0595189450712</v>
      </c>
    </row>
    <row r="926" spans="9:13" x14ac:dyDescent="0.25">
      <c r="I926">
        <v>866</v>
      </c>
      <c r="J926">
        <f t="shared" ca="1" si="54"/>
        <v>9.8685882467195118E-2</v>
      </c>
      <c r="K926">
        <f t="shared" ca="1" si="55"/>
        <v>0.45719818652448141</v>
      </c>
      <c r="L926">
        <f t="shared" ca="1" si="56"/>
        <v>9.1611896266034665E-2</v>
      </c>
      <c r="M926">
        <f t="shared" ca="1" si="57"/>
        <v>278.3027216280683</v>
      </c>
    </row>
    <row r="927" spans="9:13" x14ac:dyDescent="0.25">
      <c r="I927">
        <v>867</v>
      </c>
      <c r="J927">
        <f t="shared" ca="1" si="54"/>
        <v>6.0821695885032181E-2</v>
      </c>
      <c r="K927">
        <f t="shared" ca="1" si="55"/>
        <v>0.41759724799231474</v>
      </c>
      <c r="L927">
        <f t="shared" ca="1" si="56"/>
        <v>0.10297973916292685</v>
      </c>
      <c r="M927">
        <f t="shared" ca="1" si="57"/>
        <v>182.06460797541538</v>
      </c>
    </row>
    <row r="928" spans="9:13" x14ac:dyDescent="0.25">
      <c r="I928">
        <v>868</v>
      </c>
      <c r="J928">
        <f t="shared" ca="1" si="54"/>
        <v>9.2684745501262322E-2</v>
      </c>
      <c r="K928">
        <f t="shared" ca="1" si="55"/>
        <v>0.45859730026056567</v>
      </c>
      <c r="L928">
        <f t="shared" ca="1" si="56"/>
        <v>0.10654493862454942</v>
      </c>
      <c r="M928">
        <f t="shared" ca="1" si="57"/>
        <v>222.17864077397968</v>
      </c>
    </row>
    <row r="929" spans="9:13" x14ac:dyDescent="0.25">
      <c r="I929">
        <v>869</v>
      </c>
      <c r="J929">
        <f t="shared" ca="1" si="54"/>
        <v>3.9124518543302463E-2</v>
      </c>
      <c r="K929">
        <f t="shared" ca="1" si="55"/>
        <v>0.45398782007132921</v>
      </c>
      <c r="L929">
        <f t="shared" ca="1" si="56"/>
        <v>0.10894227460683809</v>
      </c>
      <c r="M929">
        <f t="shared" ca="1" si="57"/>
        <v>165.86231081467258</v>
      </c>
    </row>
    <row r="930" spans="9:13" x14ac:dyDescent="0.25">
      <c r="I930">
        <v>870</v>
      </c>
      <c r="J930">
        <f t="shared" ca="1" si="54"/>
        <v>6.3790367370352416E-2</v>
      </c>
      <c r="K930">
        <f t="shared" ca="1" si="55"/>
        <v>0.44524466097835247</v>
      </c>
      <c r="L930">
        <f t="shared" ca="1" si="56"/>
        <v>0.10101051810045431</v>
      </c>
      <c r="M930">
        <f t="shared" ca="1" si="57"/>
        <v>202.04727537972576</v>
      </c>
    </row>
    <row r="931" spans="9:13" x14ac:dyDescent="0.25">
      <c r="I931">
        <v>871</v>
      </c>
      <c r="J931">
        <f t="shared" ca="1" si="54"/>
        <v>0.11238569716654086</v>
      </c>
      <c r="K931">
        <f t="shared" ca="1" si="55"/>
        <v>0.46202388511772319</v>
      </c>
      <c r="L931">
        <f t="shared" ca="1" si="56"/>
        <v>0.11732936537149895</v>
      </c>
      <c r="M931">
        <f t="shared" ca="1" si="57"/>
        <v>216.54615572484167</v>
      </c>
    </row>
    <row r="932" spans="9:13" x14ac:dyDescent="0.25">
      <c r="I932">
        <v>872</v>
      </c>
      <c r="J932">
        <f t="shared" ca="1" si="54"/>
        <v>9.6935333296676071E-2</v>
      </c>
      <c r="K932">
        <f t="shared" ca="1" si="55"/>
        <v>0.41402040890663944</v>
      </c>
      <c r="L932">
        <f t="shared" ca="1" si="56"/>
        <v>0.10993793112213357</v>
      </c>
      <c r="M932">
        <f t="shared" ca="1" si="57"/>
        <v>196.28277546505115</v>
      </c>
    </row>
    <row r="933" spans="9:13" x14ac:dyDescent="0.25">
      <c r="I933">
        <v>873</v>
      </c>
      <c r="J933">
        <f t="shared" ca="1" si="54"/>
        <v>0.12482616704474775</v>
      </c>
      <c r="K933">
        <f t="shared" ca="1" si="55"/>
        <v>0.40934771705178608</v>
      </c>
      <c r="L933">
        <f t="shared" ca="1" si="56"/>
        <v>0.11741769455805581</v>
      </c>
      <c r="M933">
        <f t="shared" ca="1" si="57"/>
        <v>202.53649492247982</v>
      </c>
    </row>
    <row r="934" spans="9:13" x14ac:dyDescent="0.25">
      <c r="I934">
        <v>874</v>
      </c>
      <c r="J934">
        <f t="shared" ca="1" si="54"/>
        <v>3.7043726551576256E-2</v>
      </c>
      <c r="K934">
        <f t="shared" ca="1" si="55"/>
        <v>0.44827652226396364</v>
      </c>
      <c r="L934">
        <f t="shared" ca="1" si="56"/>
        <v>0.11564650304136768</v>
      </c>
      <c r="M934">
        <f t="shared" ca="1" si="57"/>
        <v>150.1823989141572</v>
      </c>
    </row>
    <row r="935" spans="9:13" x14ac:dyDescent="0.25">
      <c r="I935">
        <v>875</v>
      </c>
      <c r="J935">
        <f t="shared" ca="1" si="54"/>
        <v>7.7462843590844502E-2</v>
      </c>
      <c r="K935">
        <f t="shared" ca="1" si="55"/>
        <v>0.45605752189344045</v>
      </c>
      <c r="L935">
        <f t="shared" ca="1" si="56"/>
        <v>0.10028764371575719</v>
      </c>
      <c r="M935">
        <f t="shared" ca="1" si="57"/>
        <v>222.84870967150312</v>
      </c>
    </row>
    <row r="936" spans="9:13" x14ac:dyDescent="0.25">
      <c r="I936">
        <v>876</v>
      </c>
      <c r="J936">
        <f t="shared" ca="1" si="54"/>
        <v>2.8339135954938949E-2</v>
      </c>
      <c r="K936">
        <f t="shared" ca="1" si="55"/>
        <v>0.45129120396867012</v>
      </c>
      <c r="L936">
        <f t="shared" ca="1" si="56"/>
        <v>0.11511972845002326</v>
      </c>
      <c r="M936">
        <f t="shared" ca="1" si="57"/>
        <v>145.74044681588541</v>
      </c>
    </row>
    <row r="937" spans="9:13" x14ac:dyDescent="0.25">
      <c r="I937">
        <v>877</v>
      </c>
      <c r="J937">
        <f t="shared" ca="1" si="54"/>
        <v>0.12465969317273715</v>
      </c>
      <c r="K937">
        <f t="shared" ca="1" si="55"/>
        <v>0.43221417789645833</v>
      </c>
      <c r="L937">
        <f t="shared" ca="1" si="56"/>
        <v>0.1249263573112637</v>
      </c>
      <c r="M937">
        <f t="shared" ca="1" si="57"/>
        <v>197.85470517036086</v>
      </c>
    </row>
    <row r="938" spans="9:13" x14ac:dyDescent="0.25">
      <c r="I938">
        <v>878</v>
      </c>
      <c r="J938">
        <f t="shared" ca="1" si="54"/>
        <v>5.637373594063793E-2</v>
      </c>
      <c r="K938">
        <f t="shared" ca="1" si="55"/>
        <v>0.45552880768951953</v>
      </c>
      <c r="L938">
        <f t="shared" ca="1" si="56"/>
        <v>0.11239691426889203</v>
      </c>
      <c r="M938">
        <f t="shared" ca="1" si="57"/>
        <v>173.74320683147948</v>
      </c>
    </row>
    <row r="939" spans="9:13" x14ac:dyDescent="0.25">
      <c r="I939">
        <v>879</v>
      </c>
      <c r="J939">
        <f t="shared" ca="1" si="54"/>
        <v>8.8348162968183347E-2</v>
      </c>
      <c r="K939">
        <f t="shared" ca="1" si="55"/>
        <v>0.37912453186580264</v>
      </c>
      <c r="L939">
        <f t="shared" ca="1" si="56"/>
        <v>9.3834221897008852E-2</v>
      </c>
      <c r="M939">
        <f t="shared" ca="1" si="57"/>
        <v>212.73884485633118</v>
      </c>
    </row>
    <row r="940" spans="9:13" x14ac:dyDescent="0.25">
      <c r="I940">
        <v>880</v>
      </c>
      <c r="J940">
        <f t="shared" ca="1" si="54"/>
        <v>7.0016640156939786E-2</v>
      </c>
      <c r="K940">
        <f t="shared" ca="1" si="55"/>
        <v>0.42469356732247487</v>
      </c>
      <c r="L940">
        <f t="shared" ca="1" si="56"/>
        <v>0.10705051950947406</v>
      </c>
      <c r="M940">
        <f t="shared" ca="1" si="57"/>
        <v>183.88437842960516</v>
      </c>
    </row>
    <row r="941" spans="9:13" x14ac:dyDescent="0.25">
      <c r="I941">
        <v>881</v>
      </c>
      <c r="J941">
        <f t="shared" ca="1" si="54"/>
        <v>6.003372028957886E-2</v>
      </c>
      <c r="K941">
        <f t="shared" ca="1" si="55"/>
        <v>0.42718631723687267</v>
      </c>
      <c r="L941">
        <f t="shared" ca="1" si="56"/>
        <v>0.11117455881332346</v>
      </c>
      <c r="M941">
        <f t="shared" ca="1" si="57"/>
        <v>168.03889554231367</v>
      </c>
    </row>
    <row r="942" spans="9:13" x14ac:dyDescent="0.25">
      <c r="I942">
        <v>882</v>
      </c>
      <c r="J942">
        <f t="shared" ca="1" si="54"/>
        <v>8.9716438759562769E-2</v>
      </c>
      <c r="K942">
        <f t="shared" ca="1" si="55"/>
        <v>0.42492694064976722</v>
      </c>
      <c r="L942">
        <f t="shared" ca="1" si="56"/>
        <v>0.11695728405727483</v>
      </c>
      <c r="M942">
        <f t="shared" ca="1" si="57"/>
        <v>180.12891846617296</v>
      </c>
    </row>
    <row r="943" spans="9:13" x14ac:dyDescent="0.25">
      <c r="I943">
        <v>883</v>
      </c>
      <c r="J943">
        <f t="shared" ca="1" si="54"/>
        <v>0.12863652137168347</v>
      </c>
      <c r="K943">
        <f t="shared" ca="1" si="55"/>
        <v>0.43445099289931921</v>
      </c>
      <c r="L943">
        <f t="shared" ca="1" si="56"/>
        <v>0.11456732342745914</v>
      </c>
      <c r="M943">
        <f t="shared" ca="1" si="57"/>
        <v>225.64528351072477</v>
      </c>
    </row>
    <row r="944" spans="9:13" x14ac:dyDescent="0.25">
      <c r="I944">
        <v>884</v>
      </c>
      <c r="J944">
        <f t="shared" ca="1" si="54"/>
        <v>7.5365650546363405E-2</v>
      </c>
      <c r="K944">
        <f t="shared" ca="1" si="55"/>
        <v>0.44411059416146315</v>
      </c>
      <c r="L944">
        <f t="shared" ca="1" si="56"/>
        <v>0.10864050154038757</v>
      </c>
      <c r="M944">
        <f t="shared" ca="1" si="57"/>
        <v>193.53604638911966</v>
      </c>
    </row>
    <row r="945" spans="9:13" x14ac:dyDescent="0.25">
      <c r="I945">
        <v>885</v>
      </c>
      <c r="J945">
        <f t="shared" ca="1" si="54"/>
        <v>7.1204100066615025E-2</v>
      </c>
      <c r="K945">
        <f t="shared" ca="1" si="55"/>
        <v>0.44083150051716447</v>
      </c>
      <c r="L945">
        <f t="shared" ca="1" si="56"/>
        <v>0.1102517664370886</v>
      </c>
      <c r="M945">
        <f t="shared" ca="1" si="57"/>
        <v>184.84091027184351</v>
      </c>
    </row>
    <row r="946" spans="9:13" x14ac:dyDescent="0.25">
      <c r="I946">
        <v>886</v>
      </c>
      <c r="J946">
        <f t="shared" ca="1" si="54"/>
        <v>2.8580887173071147E-2</v>
      </c>
      <c r="K946">
        <f t="shared" ca="1" si="55"/>
        <v>0.48480764661957476</v>
      </c>
      <c r="L946">
        <f t="shared" ca="1" si="56"/>
        <v>0.10624945173381675</v>
      </c>
      <c r="M946">
        <f t="shared" ca="1" si="57"/>
        <v>173.88578145417191</v>
      </c>
    </row>
    <row r="947" spans="9:13" x14ac:dyDescent="0.25">
      <c r="I947">
        <v>887</v>
      </c>
      <c r="J947">
        <f t="shared" ca="1" si="54"/>
        <v>0.10073929361713213</v>
      </c>
      <c r="K947">
        <f t="shared" ca="1" si="55"/>
        <v>0.39899314312178086</v>
      </c>
      <c r="L947">
        <f t="shared" ca="1" si="56"/>
        <v>0.11324926406401022</v>
      </c>
      <c r="M947">
        <f t="shared" ca="1" si="57"/>
        <v>185.26140202959772</v>
      </c>
    </row>
    <row r="948" spans="9:13" x14ac:dyDescent="0.25">
      <c r="I948">
        <v>888</v>
      </c>
      <c r="J948">
        <f t="shared" ca="1" si="54"/>
        <v>3.3856880739585642E-2</v>
      </c>
      <c r="K948">
        <f t="shared" ca="1" si="55"/>
        <v>0.49499763889830306</v>
      </c>
      <c r="L948">
        <f t="shared" ca="1" si="56"/>
        <v>0.11072350529543623</v>
      </c>
      <c r="M948">
        <f t="shared" ca="1" si="57"/>
        <v>172.7641470312461</v>
      </c>
    </row>
    <row r="949" spans="9:13" x14ac:dyDescent="0.25">
      <c r="I949">
        <v>889</v>
      </c>
      <c r="J949">
        <f t="shared" ca="1" si="54"/>
        <v>8.2504009898325903E-2</v>
      </c>
      <c r="K949">
        <f t="shared" ca="1" si="55"/>
        <v>0.45195024388798966</v>
      </c>
      <c r="L949">
        <f t="shared" ca="1" si="56"/>
        <v>0.11488228015244369</v>
      </c>
      <c r="M949">
        <f t="shared" ca="1" si="57"/>
        <v>189.61900030455527</v>
      </c>
    </row>
    <row r="950" spans="9:13" x14ac:dyDescent="0.25">
      <c r="I950">
        <v>890</v>
      </c>
      <c r="J950">
        <f t="shared" ca="1" si="54"/>
        <v>3.0266076252533511E-2</v>
      </c>
      <c r="K950">
        <f t="shared" ca="1" si="55"/>
        <v>0.44725801260907727</v>
      </c>
      <c r="L950">
        <f t="shared" ca="1" si="56"/>
        <v>9.4605132005993756E-2</v>
      </c>
      <c r="M950">
        <f t="shared" ca="1" si="57"/>
        <v>188.51599970968005</v>
      </c>
    </row>
    <row r="951" spans="9:13" x14ac:dyDescent="0.25">
      <c r="I951">
        <v>891</v>
      </c>
      <c r="J951">
        <f t="shared" ca="1" si="54"/>
        <v>5.5069605117973847E-2</v>
      </c>
      <c r="K951">
        <f t="shared" ca="1" si="55"/>
        <v>0.41538835595528029</v>
      </c>
      <c r="L951">
        <f t="shared" ca="1" si="56"/>
        <v>0.10053485559443115</v>
      </c>
      <c r="M951">
        <f t="shared" ca="1" si="57"/>
        <v>181.86518829073103</v>
      </c>
    </row>
    <row r="952" spans="9:13" x14ac:dyDescent="0.25">
      <c r="I952">
        <v>892</v>
      </c>
      <c r="J952">
        <f t="shared" ca="1" si="54"/>
        <v>5.4167833992088903E-2</v>
      </c>
      <c r="K952">
        <f t="shared" ca="1" si="55"/>
        <v>0.46501876001819947</v>
      </c>
      <c r="L952">
        <f t="shared" ca="1" si="56"/>
        <v>0.11680536513724593</v>
      </c>
      <c r="M952">
        <f t="shared" ca="1" si="57"/>
        <v>167.16134063858843</v>
      </c>
    </row>
    <row r="953" spans="9:13" x14ac:dyDescent="0.25">
      <c r="I953">
        <v>893</v>
      </c>
      <c r="J953">
        <f t="shared" ca="1" si="54"/>
        <v>4.8512156597271372E-2</v>
      </c>
      <c r="K953">
        <f t="shared" ca="1" si="55"/>
        <v>0.38516358659195538</v>
      </c>
      <c r="L953">
        <f t="shared" ca="1" si="56"/>
        <v>0.10719624420807752</v>
      </c>
      <c r="M953">
        <f t="shared" ca="1" si="57"/>
        <v>150.12122064361793</v>
      </c>
    </row>
    <row r="954" spans="9:13" x14ac:dyDescent="0.25">
      <c r="I954">
        <v>894</v>
      </c>
      <c r="J954">
        <f t="shared" ca="1" si="54"/>
        <v>7.0335009429108586E-2</v>
      </c>
      <c r="K954">
        <f t="shared" ca="1" si="55"/>
        <v>0.42157792654387172</v>
      </c>
      <c r="L954">
        <f t="shared" ca="1" si="56"/>
        <v>0.10705298662668623</v>
      </c>
      <c r="M954">
        <f t="shared" ca="1" si="57"/>
        <v>182.79240244085426</v>
      </c>
    </row>
    <row r="955" spans="9:13" x14ac:dyDescent="0.25">
      <c r="I955">
        <v>895</v>
      </c>
      <c r="J955">
        <f t="shared" ca="1" si="54"/>
        <v>-8.7138165426941805E-3</v>
      </c>
      <c r="K955">
        <f t="shared" ca="1" si="55"/>
        <v>0.41405468592365391</v>
      </c>
      <c r="L955">
        <f t="shared" ca="1" si="56"/>
        <v>0.11810966846769841</v>
      </c>
      <c r="M955">
        <f t="shared" ca="1" si="57"/>
        <v>107.37241923899191</v>
      </c>
    </row>
    <row r="956" spans="9:13" x14ac:dyDescent="0.25">
      <c r="I956">
        <v>896</v>
      </c>
      <c r="J956">
        <f t="shared" ca="1" si="54"/>
        <v>5.5762272705509479E-2</v>
      </c>
      <c r="K956">
        <f t="shared" ca="1" si="55"/>
        <v>0.50061225865857939</v>
      </c>
      <c r="L956">
        <f t="shared" ca="1" si="56"/>
        <v>0.10724957561228954</v>
      </c>
      <c r="M956">
        <f t="shared" ca="1" si="57"/>
        <v>202.37120336733489</v>
      </c>
    </row>
    <row r="957" spans="9:13" x14ac:dyDescent="0.25">
      <c r="I957">
        <v>897</v>
      </c>
      <c r="J957">
        <f t="shared" ca="1" si="54"/>
        <v>8.0584773626430545E-2</v>
      </c>
      <c r="K957">
        <f t="shared" ca="1" si="55"/>
        <v>0.42018062036539039</v>
      </c>
      <c r="L957">
        <f t="shared" ca="1" si="56"/>
        <v>0.11548424154536389</v>
      </c>
      <c r="M957">
        <f t="shared" ca="1" si="57"/>
        <v>173.45554153494351</v>
      </c>
    </row>
    <row r="958" spans="9:13" x14ac:dyDescent="0.25">
      <c r="I958">
        <v>898</v>
      </c>
      <c r="J958">
        <f t="shared" ref="J958:J1021" ca="1" si="58">_xlfn.NORM.INV(RAND(),0.085,0.03)</f>
        <v>0.1378608816446566</v>
      </c>
      <c r="K958">
        <f t="shared" ref="K958:K1021" ca="1" si="59">_xlfn.NORM.INV(RAND(),0.435,0.03)</f>
        <v>0.44979826680591806</v>
      </c>
      <c r="L958">
        <f t="shared" ref="L958:L1021" ca="1" si="60">_xlfn.NORM.INV(RAND(),0.1106,0.01)</f>
        <v>9.9558738252240958E-2</v>
      </c>
      <c r="M958">
        <f t="shared" ref="M958:M1021" ca="1" si="61">((416.161*(1+J958)^5*K958*(1-(1+L958)^-5)/L958)+(416.161*(1+J958)^5*K958*(1+0.025)/(L958-0.025)*(1+L958)^-5)-78.328+54.697)/15.02</f>
        <v>291.96453494126087</v>
      </c>
    </row>
    <row r="959" spans="9:13" x14ac:dyDescent="0.25">
      <c r="I959">
        <v>899</v>
      </c>
      <c r="J959">
        <f t="shared" ca="1" si="58"/>
        <v>9.1845727646505532E-2</v>
      </c>
      <c r="K959">
        <f t="shared" ca="1" si="59"/>
        <v>0.41530934335301889</v>
      </c>
      <c r="L959">
        <f t="shared" ca="1" si="60"/>
        <v>0.10287700514185594</v>
      </c>
      <c r="M959">
        <f t="shared" ca="1" si="61"/>
        <v>209.64675613897558</v>
      </c>
    </row>
    <row r="960" spans="9:13" x14ac:dyDescent="0.25">
      <c r="I960">
        <v>900</v>
      </c>
      <c r="J960">
        <f t="shared" ca="1" si="58"/>
        <v>5.7766220531027243E-2</v>
      </c>
      <c r="K960">
        <f t="shared" ca="1" si="59"/>
        <v>0.42814026930224081</v>
      </c>
      <c r="L960">
        <f t="shared" ca="1" si="60"/>
        <v>9.4126841324756905E-2</v>
      </c>
      <c r="M960">
        <f t="shared" ca="1" si="61"/>
        <v>207.42469112256498</v>
      </c>
    </row>
    <row r="961" spans="9:13" x14ac:dyDescent="0.25">
      <c r="I961">
        <v>901</v>
      </c>
      <c r="J961">
        <f t="shared" ca="1" si="58"/>
        <v>4.5595716730756131E-2</v>
      </c>
      <c r="K961">
        <f t="shared" ca="1" si="59"/>
        <v>0.38866955953295734</v>
      </c>
      <c r="L961">
        <f t="shared" ca="1" si="60"/>
        <v>9.7235433151945314E-2</v>
      </c>
      <c r="M961">
        <f t="shared" ca="1" si="61"/>
        <v>169.88524297180209</v>
      </c>
    </row>
    <row r="962" spans="9:13" x14ac:dyDescent="0.25">
      <c r="I962">
        <v>902</v>
      </c>
      <c r="J962">
        <f t="shared" ca="1" si="58"/>
        <v>7.9973485578124726E-2</v>
      </c>
      <c r="K962">
        <f t="shared" ca="1" si="59"/>
        <v>0.43131054934172408</v>
      </c>
      <c r="L962">
        <f t="shared" ca="1" si="60"/>
        <v>0.10491816086462738</v>
      </c>
      <c r="M962">
        <f t="shared" ca="1" si="61"/>
        <v>200.88665733881641</v>
      </c>
    </row>
    <row r="963" spans="9:13" x14ac:dyDescent="0.25">
      <c r="I963">
        <v>903</v>
      </c>
      <c r="J963">
        <f t="shared" ca="1" si="58"/>
        <v>8.0917560295446847E-2</v>
      </c>
      <c r="K963">
        <f t="shared" ca="1" si="59"/>
        <v>0.40123987125820321</v>
      </c>
      <c r="L963">
        <f t="shared" ca="1" si="60"/>
        <v>0.11782816628614515</v>
      </c>
      <c r="M963">
        <f t="shared" ca="1" si="61"/>
        <v>161.66341317191876</v>
      </c>
    </row>
    <row r="964" spans="9:13" x14ac:dyDescent="0.25">
      <c r="I964">
        <v>904</v>
      </c>
      <c r="J964">
        <f t="shared" ca="1" si="58"/>
        <v>9.1313420338960088E-2</v>
      </c>
      <c r="K964">
        <f t="shared" ca="1" si="59"/>
        <v>0.44233325012166241</v>
      </c>
      <c r="L964">
        <f t="shared" ca="1" si="60"/>
        <v>9.5428936052959337E-2</v>
      </c>
      <c r="M964">
        <f t="shared" ca="1" si="61"/>
        <v>246.23032473373371</v>
      </c>
    </row>
    <row r="965" spans="9:13" x14ac:dyDescent="0.25">
      <c r="I965">
        <v>905</v>
      </c>
      <c r="J965">
        <f t="shared" ca="1" si="58"/>
        <v>5.5816881792956206E-2</v>
      </c>
      <c r="K965">
        <f t="shared" ca="1" si="59"/>
        <v>0.4105633893348522</v>
      </c>
      <c r="L965">
        <f t="shared" ca="1" si="60"/>
        <v>0.10069916148315142</v>
      </c>
      <c r="M965">
        <f t="shared" ca="1" si="61"/>
        <v>179.98805371887914</v>
      </c>
    </row>
    <row r="966" spans="9:13" x14ac:dyDescent="0.25">
      <c r="I966">
        <v>906</v>
      </c>
      <c r="J966">
        <f t="shared" ca="1" si="58"/>
        <v>0.12446607827077799</v>
      </c>
      <c r="K966">
        <f t="shared" ca="1" si="59"/>
        <v>0.42701797340362879</v>
      </c>
      <c r="L966">
        <f t="shared" ca="1" si="60"/>
        <v>0.10469854637068264</v>
      </c>
      <c r="M966">
        <f t="shared" ca="1" si="61"/>
        <v>244.3723634247782</v>
      </c>
    </row>
    <row r="967" spans="9:13" x14ac:dyDescent="0.25">
      <c r="I967">
        <v>907</v>
      </c>
      <c r="J967">
        <f t="shared" ca="1" si="58"/>
        <v>0.1031172374085683</v>
      </c>
      <c r="K967">
        <f t="shared" ca="1" si="59"/>
        <v>0.41068079062733387</v>
      </c>
      <c r="L967">
        <f t="shared" ca="1" si="60"/>
        <v>0.11828087114380287</v>
      </c>
      <c r="M967">
        <f t="shared" ca="1" si="61"/>
        <v>182.49758019336173</v>
      </c>
    </row>
    <row r="968" spans="9:13" x14ac:dyDescent="0.25">
      <c r="I968">
        <v>908</v>
      </c>
      <c r="J968">
        <f t="shared" ca="1" si="58"/>
        <v>0.11739492425054758</v>
      </c>
      <c r="K968">
        <f t="shared" ca="1" si="59"/>
        <v>0.42346971742757766</v>
      </c>
      <c r="L968">
        <f t="shared" ca="1" si="60"/>
        <v>0.1021846021524898</v>
      </c>
      <c r="M968">
        <f t="shared" ca="1" si="61"/>
        <v>242.34026910813046</v>
      </c>
    </row>
    <row r="969" spans="9:13" x14ac:dyDescent="0.25">
      <c r="I969">
        <v>909</v>
      </c>
      <c r="J969">
        <f t="shared" ca="1" si="58"/>
        <v>0.11280592918911364</v>
      </c>
      <c r="K969">
        <f t="shared" ca="1" si="59"/>
        <v>0.40180809473282914</v>
      </c>
      <c r="L969">
        <f t="shared" ca="1" si="60"/>
        <v>9.4545264183761538E-2</v>
      </c>
      <c r="M969">
        <f t="shared" ca="1" si="61"/>
        <v>249.69467265259939</v>
      </c>
    </row>
    <row r="970" spans="9:13" x14ac:dyDescent="0.25">
      <c r="I970">
        <v>910</v>
      </c>
      <c r="J970">
        <f t="shared" ca="1" si="58"/>
        <v>8.5678804524204746E-2</v>
      </c>
      <c r="K970">
        <f t="shared" ca="1" si="59"/>
        <v>0.43664740853798273</v>
      </c>
      <c r="L970">
        <f t="shared" ca="1" si="60"/>
        <v>0.11291203624484381</v>
      </c>
      <c r="M970">
        <f t="shared" ca="1" si="61"/>
        <v>190.00406783660176</v>
      </c>
    </row>
    <row r="971" spans="9:13" x14ac:dyDescent="0.25">
      <c r="I971">
        <v>911</v>
      </c>
      <c r="J971">
        <f t="shared" ca="1" si="58"/>
        <v>6.8914057819318336E-2</v>
      </c>
      <c r="K971">
        <f t="shared" ca="1" si="59"/>
        <v>0.43633970601409594</v>
      </c>
      <c r="L971">
        <f t="shared" ca="1" si="60"/>
        <v>0.11995278691705349</v>
      </c>
      <c r="M971">
        <f t="shared" ca="1" si="61"/>
        <v>162.60734951600037</v>
      </c>
    </row>
    <row r="972" spans="9:13" x14ac:dyDescent="0.25">
      <c r="I972">
        <v>912</v>
      </c>
      <c r="J972">
        <f t="shared" ca="1" si="58"/>
        <v>8.2464680269470875E-2</v>
      </c>
      <c r="K972">
        <f t="shared" ca="1" si="59"/>
        <v>0.45525772786100194</v>
      </c>
      <c r="L972">
        <f t="shared" ca="1" si="60"/>
        <v>9.2674355586924009E-2</v>
      </c>
      <c r="M972">
        <f t="shared" ca="1" si="61"/>
        <v>253.13064949222206</v>
      </c>
    </row>
    <row r="973" spans="9:13" x14ac:dyDescent="0.25">
      <c r="I973">
        <v>913</v>
      </c>
      <c r="J973">
        <f t="shared" ca="1" si="58"/>
        <v>8.9813026036153515E-2</v>
      </c>
      <c r="K973">
        <f t="shared" ca="1" si="59"/>
        <v>0.4648541959374351</v>
      </c>
      <c r="L973">
        <f t="shared" ca="1" si="60"/>
        <v>0.10537878142647855</v>
      </c>
      <c r="M973">
        <f t="shared" ca="1" si="61"/>
        <v>225.46595281085962</v>
      </c>
    </row>
    <row r="974" spans="9:13" x14ac:dyDescent="0.25">
      <c r="I974">
        <v>914</v>
      </c>
      <c r="J974">
        <f t="shared" ca="1" si="58"/>
        <v>0.11998811774449818</v>
      </c>
      <c r="K974">
        <f t="shared" ca="1" si="59"/>
        <v>0.44625148618573729</v>
      </c>
      <c r="L974">
        <f t="shared" ca="1" si="60"/>
        <v>0.11408699144151306</v>
      </c>
      <c r="M974">
        <f t="shared" ca="1" si="61"/>
        <v>224.2026887882227</v>
      </c>
    </row>
    <row r="975" spans="9:13" x14ac:dyDescent="0.25">
      <c r="I975">
        <v>915</v>
      </c>
      <c r="J975">
        <f t="shared" ca="1" si="58"/>
        <v>4.6004260271697843E-2</v>
      </c>
      <c r="K975">
        <f t="shared" ca="1" si="59"/>
        <v>0.41293354053814613</v>
      </c>
      <c r="L975">
        <f t="shared" ca="1" si="60"/>
        <v>9.3854934666571771E-2</v>
      </c>
      <c r="M975">
        <f t="shared" ca="1" si="61"/>
        <v>189.78360195446376</v>
      </c>
    </row>
    <row r="976" spans="9:13" x14ac:dyDescent="0.25">
      <c r="I976">
        <v>916</v>
      </c>
      <c r="J976">
        <f t="shared" ca="1" si="58"/>
        <v>6.6103909891285118E-2</v>
      </c>
      <c r="K976">
        <f t="shared" ca="1" si="59"/>
        <v>0.42099160420442117</v>
      </c>
      <c r="L976">
        <f t="shared" ca="1" si="60"/>
        <v>0.11038019723559844</v>
      </c>
      <c r="M976">
        <f t="shared" ca="1" si="61"/>
        <v>171.99588048181712</v>
      </c>
    </row>
    <row r="977" spans="9:13" x14ac:dyDescent="0.25">
      <c r="I977">
        <v>917</v>
      </c>
      <c r="J977">
        <f t="shared" ca="1" si="58"/>
        <v>4.5163153224140051E-2</v>
      </c>
      <c r="K977">
        <f t="shared" ca="1" si="59"/>
        <v>0.43417926109550192</v>
      </c>
      <c r="L977">
        <f t="shared" ca="1" si="60"/>
        <v>0.11361716974906312</v>
      </c>
      <c r="M977">
        <f t="shared" ca="1" si="61"/>
        <v>154.69857730820695</v>
      </c>
    </row>
    <row r="978" spans="9:13" x14ac:dyDescent="0.25">
      <c r="I978">
        <v>918</v>
      </c>
      <c r="J978">
        <f t="shared" ca="1" si="58"/>
        <v>9.6100838806321379E-2</v>
      </c>
      <c r="K978">
        <f t="shared" ca="1" si="59"/>
        <v>0.44126307598280162</v>
      </c>
      <c r="L978">
        <f t="shared" ca="1" si="60"/>
        <v>0.11028231158806896</v>
      </c>
      <c r="M978">
        <f t="shared" ca="1" si="61"/>
        <v>207.66549239876906</v>
      </c>
    </row>
    <row r="979" spans="9:13" x14ac:dyDescent="0.25">
      <c r="I979">
        <v>919</v>
      </c>
      <c r="J979">
        <f t="shared" ca="1" si="58"/>
        <v>5.8084163790183017E-2</v>
      </c>
      <c r="K979">
        <f t="shared" ca="1" si="59"/>
        <v>0.39542299436099571</v>
      </c>
      <c r="L979">
        <f t="shared" ca="1" si="60"/>
        <v>0.10294421698074878</v>
      </c>
      <c r="M979">
        <f t="shared" ca="1" si="61"/>
        <v>170.15851943570266</v>
      </c>
    </row>
    <row r="980" spans="9:13" x14ac:dyDescent="0.25">
      <c r="I980">
        <v>920</v>
      </c>
      <c r="J980">
        <f t="shared" ca="1" si="58"/>
        <v>0.10870847491493998</v>
      </c>
      <c r="K980">
        <f t="shared" ca="1" si="59"/>
        <v>0.42349017505347886</v>
      </c>
      <c r="L980">
        <f t="shared" ca="1" si="60"/>
        <v>0.11648430517959282</v>
      </c>
      <c r="M980">
        <f t="shared" ca="1" si="61"/>
        <v>196.85892003315053</v>
      </c>
    </row>
    <row r="981" spans="9:13" x14ac:dyDescent="0.25">
      <c r="I981">
        <v>921</v>
      </c>
      <c r="J981">
        <f t="shared" ca="1" si="58"/>
        <v>0.10300720507840878</v>
      </c>
      <c r="K981">
        <f t="shared" ca="1" si="59"/>
        <v>0.38490025674992895</v>
      </c>
      <c r="L981">
        <f t="shared" ca="1" si="60"/>
        <v>0.12355238857066039</v>
      </c>
      <c r="M981">
        <f t="shared" ca="1" si="61"/>
        <v>161.78177732069594</v>
      </c>
    </row>
    <row r="982" spans="9:13" x14ac:dyDescent="0.25">
      <c r="I982">
        <v>922</v>
      </c>
      <c r="J982">
        <f t="shared" ca="1" si="58"/>
        <v>7.5318314292150704E-2</v>
      </c>
      <c r="K982">
        <f t="shared" ca="1" si="59"/>
        <v>0.49165948793043129</v>
      </c>
      <c r="L982">
        <f t="shared" ca="1" si="60"/>
        <v>0.12884493289746279</v>
      </c>
      <c r="M982">
        <f t="shared" ca="1" si="61"/>
        <v>172.97400085559858</v>
      </c>
    </row>
    <row r="983" spans="9:13" x14ac:dyDescent="0.25">
      <c r="I983">
        <v>923</v>
      </c>
      <c r="J983">
        <f t="shared" ca="1" si="58"/>
        <v>6.8431124785838807E-2</v>
      </c>
      <c r="K983">
        <f t="shared" ca="1" si="59"/>
        <v>0.38514360390064628</v>
      </c>
      <c r="L983">
        <f t="shared" ca="1" si="60"/>
        <v>0.11564193358819541</v>
      </c>
      <c r="M983">
        <f t="shared" ca="1" si="61"/>
        <v>149.77953549609015</v>
      </c>
    </row>
    <row r="984" spans="9:13" x14ac:dyDescent="0.25">
      <c r="I984">
        <v>924</v>
      </c>
      <c r="J984">
        <f t="shared" ca="1" si="58"/>
        <v>8.2434595716554912E-2</v>
      </c>
      <c r="K984">
        <f t="shared" ca="1" si="59"/>
        <v>0.41894041892965228</v>
      </c>
      <c r="L984">
        <f t="shared" ca="1" si="60"/>
        <v>0.11658856619665518</v>
      </c>
      <c r="M984">
        <f t="shared" ca="1" si="61"/>
        <v>172.34923988959949</v>
      </c>
    </row>
    <row r="985" spans="9:13" x14ac:dyDescent="0.25">
      <c r="I985">
        <v>925</v>
      </c>
      <c r="J985">
        <f t="shared" ca="1" si="58"/>
        <v>1.412201452569059E-2</v>
      </c>
      <c r="K985">
        <f t="shared" ca="1" si="59"/>
        <v>0.42843966105873049</v>
      </c>
      <c r="L985">
        <f t="shared" ca="1" si="60"/>
        <v>0.12266971533730296</v>
      </c>
      <c r="M985">
        <f t="shared" ca="1" si="61"/>
        <v>118.95111769314809</v>
      </c>
    </row>
    <row r="986" spans="9:13" x14ac:dyDescent="0.25">
      <c r="I986">
        <v>926</v>
      </c>
      <c r="J986">
        <f t="shared" ca="1" si="58"/>
        <v>0.11279039996822662</v>
      </c>
      <c r="K986">
        <f t="shared" ca="1" si="59"/>
        <v>0.48323763646118439</v>
      </c>
      <c r="L986">
        <f t="shared" ca="1" si="60"/>
        <v>0.11940946875096643</v>
      </c>
      <c r="M986">
        <f t="shared" ca="1" si="61"/>
        <v>222.02174432760708</v>
      </c>
    </row>
    <row r="987" spans="9:13" x14ac:dyDescent="0.25">
      <c r="I987">
        <v>927</v>
      </c>
      <c r="J987">
        <f t="shared" ca="1" si="58"/>
        <v>0.10160272405646098</v>
      </c>
      <c r="K987">
        <f t="shared" ca="1" si="59"/>
        <v>0.42283385356988085</v>
      </c>
      <c r="L987">
        <f t="shared" ca="1" si="60"/>
        <v>0.11248916841786669</v>
      </c>
      <c r="M987">
        <f t="shared" ca="1" si="61"/>
        <v>198.90283611569302</v>
      </c>
    </row>
    <row r="988" spans="9:13" x14ac:dyDescent="0.25">
      <c r="I988">
        <v>928</v>
      </c>
      <c r="J988">
        <f t="shared" ca="1" si="58"/>
        <v>7.9231687452569491E-2</v>
      </c>
      <c r="K988">
        <f t="shared" ca="1" si="59"/>
        <v>0.41944379958929862</v>
      </c>
      <c r="L988">
        <f t="shared" ca="1" si="60"/>
        <v>0.10773649561693173</v>
      </c>
      <c r="M988">
        <f t="shared" ca="1" si="61"/>
        <v>188.05445856994049</v>
      </c>
    </row>
    <row r="989" spans="9:13" x14ac:dyDescent="0.25">
      <c r="I989">
        <v>929</v>
      </c>
      <c r="J989">
        <f t="shared" ca="1" si="58"/>
        <v>8.3686989862288327E-2</v>
      </c>
      <c r="K989">
        <f t="shared" ca="1" si="59"/>
        <v>0.43227938228081048</v>
      </c>
      <c r="L989">
        <f t="shared" ca="1" si="60"/>
        <v>0.11765652675461299</v>
      </c>
      <c r="M989">
        <f t="shared" ca="1" si="61"/>
        <v>176.88036235632831</v>
      </c>
    </row>
    <row r="990" spans="9:13" x14ac:dyDescent="0.25">
      <c r="I990">
        <v>930</v>
      </c>
      <c r="J990">
        <f t="shared" ca="1" si="58"/>
        <v>8.2774346586962477E-2</v>
      </c>
      <c r="K990">
        <f t="shared" ca="1" si="59"/>
        <v>0.40912892328993228</v>
      </c>
      <c r="L990">
        <f t="shared" ca="1" si="60"/>
        <v>0.10577103315076589</v>
      </c>
      <c r="M990">
        <f t="shared" ca="1" si="61"/>
        <v>190.95344065026632</v>
      </c>
    </row>
    <row r="991" spans="9:13" x14ac:dyDescent="0.25">
      <c r="I991">
        <v>931</v>
      </c>
      <c r="J991">
        <f t="shared" ca="1" si="58"/>
        <v>0.12450397354481495</v>
      </c>
      <c r="K991">
        <f t="shared" ca="1" si="59"/>
        <v>0.37514483369158275</v>
      </c>
      <c r="L991">
        <f t="shared" ca="1" si="60"/>
        <v>0.11299136567062529</v>
      </c>
      <c r="M991">
        <f t="shared" ca="1" si="61"/>
        <v>194.45774727959085</v>
      </c>
    </row>
    <row r="992" spans="9:13" x14ac:dyDescent="0.25">
      <c r="I992">
        <v>932</v>
      </c>
      <c r="J992">
        <f t="shared" ca="1" si="58"/>
        <v>0.11660250530680176</v>
      </c>
      <c r="K992">
        <f t="shared" ca="1" si="59"/>
        <v>0.45571835029937452</v>
      </c>
      <c r="L992">
        <f t="shared" ca="1" si="60"/>
        <v>9.2781122900341045E-2</v>
      </c>
      <c r="M992">
        <f t="shared" ca="1" si="61"/>
        <v>295.74622729959623</v>
      </c>
    </row>
    <row r="993" spans="9:13" x14ac:dyDescent="0.25">
      <c r="I993">
        <v>933</v>
      </c>
      <c r="J993">
        <f t="shared" ca="1" si="58"/>
        <v>6.4829534436742484E-2</v>
      </c>
      <c r="K993">
        <f t="shared" ca="1" si="59"/>
        <v>0.38798945831756276</v>
      </c>
      <c r="L993">
        <f t="shared" ca="1" si="60"/>
        <v>8.4926692928596739E-2</v>
      </c>
      <c r="M993">
        <f t="shared" ca="1" si="61"/>
        <v>223.89213785298543</v>
      </c>
    </row>
    <row r="994" spans="9:13" x14ac:dyDescent="0.25">
      <c r="I994">
        <v>934</v>
      </c>
      <c r="J994">
        <f t="shared" ca="1" si="58"/>
        <v>0.12362368506057284</v>
      </c>
      <c r="K994">
        <f t="shared" ca="1" si="59"/>
        <v>0.45743699041952512</v>
      </c>
      <c r="L994">
        <f t="shared" ca="1" si="60"/>
        <v>0.11143274984086196</v>
      </c>
      <c r="M994">
        <f t="shared" ca="1" si="61"/>
        <v>240.75147574850044</v>
      </c>
    </row>
    <row r="995" spans="9:13" x14ac:dyDescent="0.25">
      <c r="I995">
        <v>935</v>
      </c>
      <c r="J995">
        <f t="shared" ca="1" si="58"/>
        <v>0.12628348264906483</v>
      </c>
      <c r="K995">
        <f t="shared" ca="1" si="59"/>
        <v>0.4059338179523283</v>
      </c>
      <c r="L995">
        <f t="shared" ca="1" si="60"/>
        <v>9.9810874420808868E-2</v>
      </c>
      <c r="M995">
        <f t="shared" ca="1" si="61"/>
        <v>249.29658210270892</v>
      </c>
    </row>
    <row r="996" spans="9:13" x14ac:dyDescent="0.25">
      <c r="I996">
        <v>936</v>
      </c>
      <c r="J996">
        <f t="shared" ca="1" si="58"/>
        <v>3.9371496151527498E-2</v>
      </c>
      <c r="K996">
        <f t="shared" ca="1" si="59"/>
        <v>0.42998895446540736</v>
      </c>
      <c r="L996">
        <f t="shared" ca="1" si="60"/>
        <v>0.10855772802238621</v>
      </c>
      <c r="M996">
        <f t="shared" ca="1" si="61"/>
        <v>157.91945868361736</v>
      </c>
    </row>
    <row r="997" spans="9:13" x14ac:dyDescent="0.25">
      <c r="I997">
        <v>937</v>
      </c>
      <c r="J997">
        <f t="shared" ca="1" si="58"/>
        <v>0.15263868702295541</v>
      </c>
      <c r="K997">
        <f t="shared" ca="1" si="59"/>
        <v>0.45215876658411047</v>
      </c>
      <c r="L997">
        <f t="shared" ca="1" si="60"/>
        <v>0.11093877178885223</v>
      </c>
      <c r="M997">
        <f t="shared" ca="1" si="61"/>
        <v>272.06058156022635</v>
      </c>
    </row>
    <row r="998" spans="9:13" x14ac:dyDescent="0.25">
      <c r="I998">
        <v>938</v>
      </c>
      <c r="J998">
        <f t="shared" ca="1" si="58"/>
        <v>0.10087720059481887</v>
      </c>
      <c r="K998">
        <f t="shared" ca="1" si="59"/>
        <v>0.38754058653943335</v>
      </c>
      <c r="L998">
        <f t="shared" ca="1" si="60"/>
        <v>0.11118109315227576</v>
      </c>
      <c r="M998">
        <f t="shared" ca="1" si="61"/>
        <v>184.30149235992164</v>
      </c>
    </row>
    <row r="999" spans="9:13" x14ac:dyDescent="0.25">
      <c r="I999">
        <v>939</v>
      </c>
      <c r="J999">
        <f t="shared" ca="1" si="58"/>
        <v>9.8047797442508577E-2</v>
      </c>
      <c r="K999">
        <f t="shared" ca="1" si="59"/>
        <v>0.46874670719496342</v>
      </c>
      <c r="L999">
        <f t="shared" ca="1" si="60"/>
        <v>0.1091205106583447</v>
      </c>
      <c r="M999">
        <f t="shared" ca="1" si="61"/>
        <v>225.72851526279305</v>
      </c>
    </row>
    <row r="1000" spans="9:13" x14ac:dyDescent="0.25">
      <c r="I1000">
        <v>940</v>
      </c>
      <c r="J1000">
        <f t="shared" ca="1" si="58"/>
        <v>6.013240967033702E-2</v>
      </c>
      <c r="K1000">
        <f t="shared" ca="1" si="59"/>
        <v>0.4016966987041164</v>
      </c>
      <c r="L1000">
        <f t="shared" ca="1" si="60"/>
        <v>0.12119267461445751</v>
      </c>
      <c r="M1000">
        <f t="shared" ca="1" si="61"/>
        <v>141.6259770630125</v>
      </c>
    </row>
    <row r="1001" spans="9:13" x14ac:dyDescent="0.25">
      <c r="I1001">
        <v>941</v>
      </c>
      <c r="J1001">
        <f t="shared" ca="1" si="58"/>
        <v>0.12071543319793372</v>
      </c>
      <c r="K1001">
        <f t="shared" ca="1" si="59"/>
        <v>0.44914529643742401</v>
      </c>
      <c r="L1001">
        <f t="shared" ca="1" si="60"/>
        <v>0.10935206743268884</v>
      </c>
      <c r="M1001">
        <f t="shared" ca="1" si="61"/>
        <v>238.99939929155866</v>
      </c>
    </row>
    <row r="1002" spans="9:13" x14ac:dyDescent="0.25">
      <c r="I1002">
        <v>942</v>
      </c>
      <c r="J1002">
        <f t="shared" ca="1" si="58"/>
        <v>9.0923131600501708E-2</v>
      </c>
      <c r="K1002">
        <f t="shared" ca="1" si="59"/>
        <v>0.45268112997567406</v>
      </c>
      <c r="L1002">
        <f t="shared" ca="1" si="60"/>
        <v>0.12632642845282877</v>
      </c>
      <c r="M1002">
        <f t="shared" ca="1" si="61"/>
        <v>175.35815688895912</v>
      </c>
    </row>
    <row r="1003" spans="9:13" x14ac:dyDescent="0.25">
      <c r="I1003">
        <v>943</v>
      </c>
      <c r="J1003">
        <f t="shared" ca="1" si="58"/>
        <v>9.0717964819419281E-2</v>
      </c>
      <c r="K1003">
        <f t="shared" ca="1" si="59"/>
        <v>0.39261278305062708</v>
      </c>
      <c r="L1003">
        <f t="shared" ca="1" si="60"/>
        <v>0.10403521258268973</v>
      </c>
      <c r="M1003">
        <f t="shared" ca="1" si="61"/>
        <v>194.20518119774158</v>
      </c>
    </row>
    <row r="1004" spans="9:13" x14ac:dyDescent="0.25">
      <c r="I1004">
        <v>944</v>
      </c>
      <c r="J1004">
        <f t="shared" ca="1" si="58"/>
        <v>8.5949758707223323E-2</v>
      </c>
      <c r="K1004">
        <f t="shared" ca="1" si="59"/>
        <v>0.42965292471963451</v>
      </c>
      <c r="L1004">
        <f t="shared" ca="1" si="60"/>
        <v>0.10420227593696214</v>
      </c>
      <c r="M1004">
        <f t="shared" ca="1" si="61"/>
        <v>207.5974253850215</v>
      </c>
    </row>
    <row r="1005" spans="9:13" x14ac:dyDescent="0.25">
      <c r="I1005">
        <v>945</v>
      </c>
      <c r="J1005">
        <f t="shared" ca="1" si="58"/>
        <v>0.11977205840679495</v>
      </c>
      <c r="K1005">
        <f t="shared" ca="1" si="59"/>
        <v>0.44531847061867996</v>
      </c>
      <c r="L1005">
        <f t="shared" ca="1" si="60"/>
        <v>0.1056214235888728</v>
      </c>
      <c r="M1005">
        <f t="shared" ca="1" si="61"/>
        <v>246.77046019676013</v>
      </c>
    </row>
    <row r="1006" spans="9:13" x14ac:dyDescent="0.25">
      <c r="I1006">
        <v>946</v>
      </c>
      <c r="J1006">
        <f t="shared" ca="1" si="58"/>
        <v>7.4598655020534574E-2</v>
      </c>
      <c r="K1006">
        <f t="shared" ca="1" si="59"/>
        <v>0.40413143412303276</v>
      </c>
      <c r="L1006">
        <f t="shared" ca="1" si="60"/>
        <v>0.1195704956744657</v>
      </c>
      <c r="M1006">
        <f t="shared" ca="1" si="61"/>
        <v>155.19587690758382</v>
      </c>
    </row>
    <row r="1007" spans="9:13" x14ac:dyDescent="0.25">
      <c r="I1007">
        <v>947</v>
      </c>
      <c r="J1007">
        <f t="shared" ca="1" si="58"/>
        <v>8.5939750957566022E-2</v>
      </c>
      <c r="K1007">
        <f t="shared" ca="1" si="59"/>
        <v>0.42322814745334048</v>
      </c>
      <c r="L1007">
        <f t="shared" ca="1" si="60"/>
        <v>0.12039943823846938</v>
      </c>
      <c r="M1007">
        <f t="shared" ca="1" si="61"/>
        <v>169.97322985141875</v>
      </c>
    </row>
    <row r="1008" spans="9:13" x14ac:dyDescent="0.25">
      <c r="I1008">
        <v>948</v>
      </c>
      <c r="J1008">
        <f t="shared" ca="1" si="58"/>
        <v>0.1199698417149847</v>
      </c>
      <c r="K1008">
        <f t="shared" ca="1" si="59"/>
        <v>0.4176384862228269</v>
      </c>
      <c r="L1008">
        <f t="shared" ca="1" si="60"/>
        <v>0.12154062228783841</v>
      </c>
      <c r="M1008">
        <f t="shared" ca="1" si="61"/>
        <v>193.65019783249096</v>
      </c>
    </row>
    <row r="1009" spans="9:13" x14ac:dyDescent="0.25">
      <c r="I1009">
        <v>949</v>
      </c>
      <c r="J1009">
        <f t="shared" ca="1" si="58"/>
        <v>0.13254459749100245</v>
      </c>
      <c r="K1009">
        <f t="shared" ca="1" si="59"/>
        <v>0.44285265230617404</v>
      </c>
      <c r="L1009">
        <f t="shared" ca="1" si="60"/>
        <v>0.11243640472771363</v>
      </c>
      <c r="M1009">
        <f t="shared" ca="1" si="61"/>
        <v>239.72911089816594</v>
      </c>
    </row>
    <row r="1010" spans="9:13" x14ac:dyDescent="0.25">
      <c r="I1010">
        <v>950</v>
      </c>
      <c r="J1010">
        <f t="shared" ca="1" si="58"/>
        <v>4.1713763594030118E-2</v>
      </c>
      <c r="K1010">
        <f t="shared" ca="1" si="59"/>
        <v>0.4418796969018069</v>
      </c>
      <c r="L1010">
        <f t="shared" ca="1" si="60"/>
        <v>0.11328844561543185</v>
      </c>
      <c r="M1010">
        <f t="shared" ca="1" si="61"/>
        <v>155.4362466047034</v>
      </c>
    </row>
    <row r="1011" spans="9:13" x14ac:dyDescent="0.25">
      <c r="I1011">
        <v>951</v>
      </c>
      <c r="J1011">
        <f t="shared" ca="1" si="58"/>
        <v>9.6805099741129455E-2</v>
      </c>
      <c r="K1011">
        <f t="shared" ca="1" si="59"/>
        <v>0.48541257755344469</v>
      </c>
      <c r="L1011">
        <f t="shared" ca="1" si="60"/>
        <v>0.11767636396473986</v>
      </c>
      <c r="M1011">
        <f t="shared" ca="1" si="61"/>
        <v>211.19577766274773</v>
      </c>
    </row>
    <row r="1012" spans="9:13" x14ac:dyDescent="0.25">
      <c r="I1012">
        <v>952</v>
      </c>
      <c r="J1012">
        <f t="shared" ca="1" si="58"/>
        <v>0.10833437091471554</v>
      </c>
      <c r="K1012">
        <f t="shared" ca="1" si="59"/>
        <v>0.42976202752797982</v>
      </c>
      <c r="L1012">
        <f t="shared" ca="1" si="60"/>
        <v>0.11677318036259596</v>
      </c>
      <c r="M1012">
        <f t="shared" ca="1" si="61"/>
        <v>198.8355315426993</v>
      </c>
    </row>
    <row r="1013" spans="9:13" x14ac:dyDescent="0.25">
      <c r="I1013">
        <v>953</v>
      </c>
      <c r="J1013">
        <f t="shared" ca="1" si="58"/>
        <v>0.1123755892564034</v>
      </c>
      <c r="K1013">
        <f t="shared" ca="1" si="59"/>
        <v>0.39653113126990641</v>
      </c>
      <c r="L1013">
        <f t="shared" ca="1" si="60"/>
        <v>9.2525715436853451E-2</v>
      </c>
      <c r="M1013">
        <f t="shared" ca="1" si="61"/>
        <v>253.21928611168457</v>
      </c>
    </row>
    <row r="1014" spans="9:13" x14ac:dyDescent="0.25">
      <c r="I1014">
        <v>954</v>
      </c>
      <c r="J1014">
        <f t="shared" ca="1" si="58"/>
        <v>7.7884708312201248E-2</v>
      </c>
      <c r="K1014">
        <f t="shared" ca="1" si="59"/>
        <v>0.44473132721530734</v>
      </c>
      <c r="L1014">
        <f t="shared" ca="1" si="60"/>
        <v>0.12471144963040341</v>
      </c>
      <c r="M1014">
        <f t="shared" ca="1" si="61"/>
        <v>164.71431753517385</v>
      </c>
    </row>
    <row r="1015" spans="9:13" x14ac:dyDescent="0.25">
      <c r="I1015">
        <v>955</v>
      </c>
      <c r="J1015">
        <f t="shared" ca="1" si="58"/>
        <v>0.11750102820140142</v>
      </c>
      <c r="K1015">
        <f t="shared" ca="1" si="59"/>
        <v>0.42894386589858413</v>
      </c>
      <c r="L1015">
        <f t="shared" ca="1" si="60"/>
        <v>0.11157029338986248</v>
      </c>
      <c r="M1015">
        <f t="shared" ca="1" si="61"/>
        <v>219.18769177418861</v>
      </c>
    </row>
    <row r="1016" spans="9:13" x14ac:dyDescent="0.25">
      <c r="I1016">
        <v>956</v>
      </c>
      <c r="J1016">
        <f t="shared" ca="1" si="58"/>
        <v>9.9523686635215103E-2</v>
      </c>
      <c r="K1016">
        <f t="shared" ca="1" si="59"/>
        <v>0.41008798249295025</v>
      </c>
      <c r="L1016">
        <f t="shared" ca="1" si="60"/>
        <v>0.10903585618663983</v>
      </c>
      <c r="M1016">
        <f t="shared" ca="1" si="61"/>
        <v>198.82271785743669</v>
      </c>
    </row>
    <row r="1017" spans="9:13" x14ac:dyDescent="0.25">
      <c r="I1017">
        <v>957</v>
      </c>
      <c r="J1017">
        <f t="shared" ca="1" si="58"/>
        <v>9.6027508605894901E-2</v>
      </c>
      <c r="K1017">
        <f t="shared" ca="1" si="59"/>
        <v>0.42224624243930958</v>
      </c>
      <c r="L1017">
        <f t="shared" ca="1" si="60"/>
        <v>0.10223944577229022</v>
      </c>
      <c r="M1017">
        <f t="shared" ca="1" si="61"/>
        <v>219.09965877480954</v>
      </c>
    </row>
    <row r="1018" spans="9:13" x14ac:dyDescent="0.25">
      <c r="I1018">
        <v>958</v>
      </c>
      <c r="J1018">
        <f t="shared" ca="1" si="58"/>
        <v>0.15403402689992551</v>
      </c>
      <c r="K1018">
        <f t="shared" ca="1" si="59"/>
        <v>0.42285127249215387</v>
      </c>
      <c r="L1018">
        <f t="shared" ca="1" si="60"/>
        <v>0.12803179061569184</v>
      </c>
      <c r="M1018">
        <f t="shared" ca="1" si="61"/>
        <v>213.8035388878416</v>
      </c>
    </row>
    <row r="1019" spans="9:13" x14ac:dyDescent="0.25">
      <c r="I1019">
        <v>959</v>
      </c>
      <c r="J1019">
        <f t="shared" ca="1" si="58"/>
        <v>8.8653128844295964E-2</v>
      </c>
      <c r="K1019">
        <f t="shared" ca="1" si="59"/>
        <v>0.46138553627468343</v>
      </c>
      <c r="L1019">
        <f t="shared" ca="1" si="60"/>
        <v>0.11033067391690872</v>
      </c>
      <c r="M1019">
        <f t="shared" ca="1" si="61"/>
        <v>209.75673356463631</v>
      </c>
    </row>
    <row r="1020" spans="9:13" x14ac:dyDescent="0.25">
      <c r="I1020">
        <v>960</v>
      </c>
      <c r="J1020">
        <f t="shared" ca="1" si="58"/>
        <v>9.695740427951377E-2</v>
      </c>
      <c r="K1020">
        <f t="shared" ca="1" si="59"/>
        <v>0.38231397801263584</v>
      </c>
      <c r="L1020">
        <f t="shared" ca="1" si="60"/>
        <v>0.10647879104763031</v>
      </c>
      <c r="M1020">
        <f t="shared" ca="1" si="61"/>
        <v>188.78732487609196</v>
      </c>
    </row>
    <row r="1021" spans="9:13" x14ac:dyDescent="0.25">
      <c r="I1021">
        <v>961</v>
      </c>
      <c r="J1021">
        <f t="shared" ca="1" si="58"/>
        <v>7.1589897083967388E-2</v>
      </c>
      <c r="K1021">
        <f t="shared" ca="1" si="59"/>
        <v>0.46817725445898328</v>
      </c>
      <c r="L1021">
        <f t="shared" ca="1" si="60"/>
        <v>0.11248506187285047</v>
      </c>
      <c r="M1021">
        <f t="shared" ca="1" si="61"/>
        <v>191.77544469541294</v>
      </c>
    </row>
    <row r="1022" spans="9:13" x14ac:dyDescent="0.25">
      <c r="I1022">
        <v>962</v>
      </c>
      <c r="J1022">
        <f t="shared" ref="J1022:J1060" ca="1" si="62">_xlfn.NORM.INV(RAND(),0.085,0.03)</f>
        <v>6.3495460167499351E-2</v>
      </c>
      <c r="K1022">
        <f t="shared" ref="K1022:K1060" ca="1" si="63">_xlfn.NORM.INV(RAND(),0.435,0.03)</f>
        <v>0.41055414961377129</v>
      </c>
      <c r="L1022">
        <f t="shared" ref="L1022:L1060" ca="1" si="64">_xlfn.NORM.INV(RAND(),0.1106,0.01)</f>
        <v>9.0048981592363367E-2</v>
      </c>
      <c r="M1022">
        <f t="shared" ref="M1022:M1060" ca="1" si="65">((416.161*(1+J1022)^5*K1022*(1-(1+L1022)^-5)/L1022)+(416.161*(1+J1022)^5*K1022*(1+0.025)/(L1022-0.025)*(1+L1022)^-5)-78.328+54.697)/15.02</f>
        <v>217.06312771017221</v>
      </c>
    </row>
    <row r="1023" spans="9:13" x14ac:dyDescent="0.25">
      <c r="I1023">
        <v>963</v>
      </c>
      <c r="J1023">
        <f t="shared" ca="1" si="62"/>
        <v>0.10398707276829179</v>
      </c>
      <c r="K1023">
        <f t="shared" ca="1" si="63"/>
        <v>0.44241914649747627</v>
      </c>
      <c r="L1023">
        <f t="shared" ca="1" si="64"/>
        <v>0.1235056179451645</v>
      </c>
      <c r="M1023">
        <f t="shared" ca="1" si="65"/>
        <v>187.11684952383104</v>
      </c>
    </row>
    <row r="1024" spans="9:13" x14ac:dyDescent="0.25">
      <c r="I1024">
        <v>964</v>
      </c>
      <c r="J1024">
        <f t="shared" ca="1" si="62"/>
        <v>9.1668363206258666E-2</v>
      </c>
      <c r="K1024">
        <f t="shared" ca="1" si="63"/>
        <v>0.47159259141130921</v>
      </c>
      <c r="L1024">
        <f t="shared" ca="1" si="64"/>
        <v>0.12242117869127714</v>
      </c>
      <c r="M1024">
        <f t="shared" ca="1" si="65"/>
        <v>190.66634496136311</v>
      </c>
    </row>
    <row r="1025" spans="9:13" x14ac:dyDescent="0.25">
      <c r="I1025">
        <v>965</v>
      </c>
      <c r="J1025">
        <f t="shared" ca="1" si="62"/>
        <v>3.5568548365726184E-2</v>
      </c>
      <c r="K1025">
        <f t="shared" ca="1" si="63"/>
        <v>0.41695820813531431</v>
      </c>
      <c r="L1025">
        <f t="shared" ca="1" si="64"/>
        <v>0.1178667856382417</v>
      </c>
      <c r="M1025">
        <f t="shared" ca="1" si="65"/>
        <v>135.28147865822325</v>
      </c>
    </row>
    <row r="1026" spans="9:13" x14ac:dyDescent="0.25">
      <c r="I1026">
        <v>966</v>
      </c>
      <c r="J1026">
        <f t="shared" ca="1" si="62"/>
        <v>0.14110489850412572</v>
      </c>
      <c r="K1026">
        <f t="shared" ca="1" si="63"/>
        <v>0.45663591539059117</v>
      </c>
      <c r="L1026">
        <f t="shared" ca="1" si="64"/>
        <v>0.11050048475376373</v>
      </c>
      <c r="M1026">
        <f t="shared" ca="1" si="65"/>
        <v>262.54430749110327</v>
      </c>
    </row>
    <row r="1027" spans="9:13" x14ac:dyDescent="0.25">
      <c r="I1027">
        <v>967</v>
      </c>
      <c r="J1027">
        <f t="shared" ca="1" si="62"/>
        <v>0.10604710530247133</v>
      </c>
      <c r="K1027">
        <f t="shared" ca="1" si="63"/>
        <v>0.42896998411125109</v>
      </c>
      <c r="L1027">
        <f t="shared" ca="1" si="64"/>
        <v>0.10776186288324952</v>
      </c>
      <c r="M1027">
        <f t="shared" ca="1" si="65"/>
        <v>217.61560811403501</v>
      </c>
    </row>
    <row r="1028" spans="9:13" x14ac:dyDescent="0.25">
      <c r="I1028">
        <v>968</v>
      </c>
      <c r="J1028">
        <f t="shared" ca="1" si="62"/>
        <v>0.1094743250276974</v>
      </c>
      <c r="K1028">
        <f t="shared" ca="1" si="63"/>
        <v>0.45809061938178564</v>
      </c>
      <c r="L1028">
        <f t="shared" ca="1" si="64"/>
        <v>0.11331624598438754</v>
      </c>
      <c r="M1028">
        <f t="shared" ca="1" si="65"/>
        <v>221.41552280219258</v>
      </c>
    </row>
    <row r="1029" spans="9:13" x14ac:dyDescent="0.25">
      <c r="I1029">
        <v>969</v>
      </c>
      <c r="J1029">
        <f t="shared" ca="1" si="62"/>
        <v>5.5143333976699516E-2</v>
      </c>
      <c r="K1029">
        <f t="shared" ca="1" si="63"/>
        <v>0.4167721998848683</v>
      </c>
      <c r="L1029">
        <f t="shared" ca="1" si="64"/>
        <v>8.2999268968633688E-2</v>
      </c>
      <c r="M1029">
        <f t="shared" ca="1" si="65"/>
        <v>237.39910860422438</v>
      </c>
    </row>
    <row r="1030" spans="9:13" x14ac:dyDescent="0.25">
      <c r="I1030">
        <v>970</v>
      </c>
      <c r="J1030">
        <f t="shared" ca="1" si="62"/>
        <v>0.13822362645024561</v>
      </c>
      <c r="K1030">
        <f t="shared" ca="1" si="63"/>
        <v>0.41177459738074224</v>
      </c>
      <c r="L1030">
        <f t="shared" ca="1" si="64"/>
        <v>0.10942141450642655</v>
      </c>
      <c r="M1030">
        <f t="shared" ca="1" si="65"/>
        <v>236.56474280562355</v>
      </c>
    </row>
    <row r="1031" spans="9:13" x14ac:dyDescent="0.25">
      <c r="I1031">
        <v>971</v>
      </c>
      <c r="J1031">
        <f t="shared" ca="1" si="62"/>
        <v>0.12229378342512295</v>
      </c>
      <c r="K1031">
        <f t="shared" ca="1" si="63"/>
        <v>0.44071108157989836</v>
      </c>
      <c r="L1031">
        <f t="shared" ca="1" si="64"/>
        <v>0.10983928041781117</v>
      </c>
      <c r="M1031">
        <f t="shared" ca="1" si="65"/>
        <v>234.80427753182101</v>
      </c>
    </row>
    <row r="1032" spans="9:13" x14ac:dyDescent="0.25">
      <c r="I1032">
        <v>972</v>
      </c>
      <c r="J1032">
        <f t="shared" ca="1" si="62"/>
        <v>0.11889250334508163</v>
      </c>
      <c r="K1032">
        <f t="shared" ca="1" si="63"/>
        <v>0.44708209341691124</v>
      </c>
      <c r="L1032">
        <f t="shared" ca="1" si="64"/>
        <v>0.13188249431009458</v>
      </c>
      <c r="M1032">
        <f t="shared" ca="1" si="65"/>
        <v>186.61440167101773</v>
      </c>
    </row>
    <row r="1033" spans="9:13" x14ac:dyDescent="0.25">
      <c r="I1033">
        <v>973</v>
      </c>
      <c r="J1033">
        <f t="shared" ca="1" si="62"/>
        <v>9.6702947141415724E-2</v>
      </c>
      <c r="K1033">
        <f t="shared" ca="1" si="63"/>
        <v>0.44235887466919166</v>
      </c>
      <c r="L1033">
        <f t="shared" ca="1" si="64"/>
        <v>0.11527967252942128</v>
      </c>
      <c r="M1033">
        <f t="shared" ca="1" si="65"/>
        <v>197.29543815740232</v>
      </c>
    </row>
    <row r="1034" spans="9:13" x14ac:dyDescent="0.25">
      <c r="I1034">
        <v>974</v>
      </c>
      <c r="J1034">
        <f t="shared" ca="1" si="62"/>
        <v>0.10798970171471504</v>
      </c>
      <c r="K1034">
        <f t="shared" ca="1" si="63"/>
        <v>0.41744840890517593</v>
      </c>
      <c r="L1034">
        <f t="shared" ca="1" si="64"/>
        <v>0.12407869469666599</v>
      </c>
      <c r="M1034">
        <f t="shared" ca="1" si="65"/>
        <v>178.68696778576486</v>
      </c>
    </row>
    <row r="1035" spans="9:13" x14ac:dyDescent="0.25">
      <c r="I1035">
        <v>975</v>
      </c>
      <c r="J1035">
        <f t="shared" ca="1" si="62"/>
        <v>5.4137783364297684E-2</v>
      </c>
      <c r="K1035">
        <f t="shared" ca="1" si="63"/>
        <v>0.4812327200469097</v>
      </c>
      <c r="L1035">
        <f t="shared" ca="1" si="64"/>
        <v>0.13504742798173192</v>
      </c>
      <c r="M1035">
        <f t="shared" ca="1" si="65"/>
        <v>144.52914092774088</v>
      </c>
    </row>
    <row r="1036" spans="9:13" x14ac:dyDescent="0.25">
      <c r="I1036">
        <v>976</v>
      </c>
      <c r="J1036">
        <f t="shared" ca="1" si="62"/>
        <v>9.8361223365476924E-2</v>
      </c>
      <c r="K1036">
        <f t="shared" ca="1" si="63"/>
        <v>0.4394431393339987</v>
      </c>
      <c r="L1036">
        <f t="shared" ca="1" si="64"/>
        <v>0.11146080513080016</v>
      </c>
      <c r="M1036">
        <f t="shared" ca="1" si="65"/>
        <v>206.13411075984953</v>
      </c>
    </row>
    <row r="1037" spans="9:13" x14ac:dyDescent="0.25">
      <c r="I1037">
        <v>977</v>
      </c>
      <c r="J1037">
        <f t="shared" ca="1" si="62"/>
        <v>5.8045279183440671E-2</v>
      </c>
      <c r="K1037">
        <f t="shared" ca="1" si="63"/>
        <v>0.46585762186179364</v>
      </c>
      <c r="L1037">
        <f t="shared" ca="1" si="64"/>
        <v>0.1000478171949214</v>
      </c>
      <c r="M1037">
        <f t="shared" ca="1" si="65"/>
        <v>208.40529870326185</v>
      </c>
    </row>
    <row r="1038" spans="9:13" x14ac:dyDescent="0.25">
      <c r="I1038">
        <v>978</v>
      </c>
      <c r="J1038">
        <f t="shared" ca="1" si="62"/>
        <v>9.7114096969301039E-2</v>
      </c>
      <c r="K1038">
        <f t="shared" ca="1" si="63"/>
        <v>0.39603476189947329</v>
      </c>
      <c r="L1038">
        <f t="shared" ca="1" si="64"/>
        <v>0.11900302128004256</v>
      </c>
      <c r="M1038">
        <f t="shared" ca="1" si="65"/>
        <v>169.85004204003334</v>
      </c>
    </row>
    <row r="1039" spans="9:13" x14ac:dyDescent="0.25">
      <c r="I1039">
        <v>979</v>
      </c>
      <c r="J1039">
        <f t="shared" ca="1" si="62"/>
        <v>9.2647038492497544E-2</v>
      </c>
      <c r="K1039">
        <f t="shared" ca="1" si="63"/>
        <v>0.48125675123652778</v>
      </c>
      <c r="L1039">
        <f t="shared" ca="1" si="64"/>
        <v>0.11708700271645675</v>
      </c>
      <c r="M1039">
        <f t="shared" ca="1" si="65"/>
        <v>206.70901994251335</v>
      </c>
    </row>
    <row r="1040" spans="9:13" x14ac:dyDescent="0.25">
      <c r="I1040">
        <v>980</v>
      </c>
      <c r="J1040">
        <f t="shared" ca="1" si="62"/>
        <v>8.1115550373342046E-2</v>
      </c>
      <c r="K1040">
        <f t="shared" ca="1" si="63"/>
        <v>0.39810286548713958</v>
      </c>
      <c r="L1040">
        <f t="shared" ca="1" si="64"/>
        <v>0.11007009851472548</v>
      </c>
      <c r="M1040">
        <f t="shared" ca="1" si="65"/>
        <v>175.07661493319716</v>
      </c>
    </row>
    <row r="1041" spans="9:13" x14ac:dyDescent="0.25">
      <c r="I1041">
        <v>981</v>
      </c>
      <c r="J1041">
        <f t="shared" ca="1" si="62"/>
        <v>8.8679239571572865E-2</v>
      </c>
      <c r="K1041">
        <f t="shared" ca="1" si="63"/>
        <v>0.39471062484244163</v>
      </c>
      <c r="L1041">
        <f t="shared" ca="1" si="64"/>
        <v>0.11724017309213922</v>
      </c>
      <c r="M1041">
        <f t="shared" ca="1" si="65"/>
        <v>165.89958018254154</v>
      </c>
    </row>
    <row r="1042" spans="9:13" x14ac:dyDescent="0.25">
      <c r="I1042">
        <v>982</v>
      </c>
      <c r="J1042">
        <f t="shared" ca="1" si="62"/>
        <v>9.5451117996900078E-2</v>
      </c>
      <c r="K1042">
        <f t="shared" ca="1" si="63"/>
        <v>0.47611172135721025</v>
      </c>
      <c r="L1042">
        <f t="shared" ca="1" si="64"/>
        <v>0.1042254168458157</v>
      </c>
      <c r="M1042">
        <f t="shared" ca="1" si="65"/>
        <v>240.46457142795401</v>
      </c>
    </row>
    <row r="1043" spans="9:13" x14ac:dyDescent="0.25">
      <c r="I1043">
        <v>983</v>
      </c>
      <c r="J1043">
        <f t="shared" ca="1" si="62"/>
        <v>9.1784446950255089E-2</v>
      </c>
      <c r="K1043">
        <f t="shared" ca="1" si="63"/>
        <v>0.39390564778415649</v>
      </c>
      <c r="L1043">
        <f t="shared" ca="1" si="64"/>
        <v>9.3003363253116533E-2</v>
      </c>
      <c r="M1043">
        <f t="shared" ca="1" si="65"/>
        <v>227.35921827937116</v>
      </c>
    </row>
    <row r="1044" spans="9:13" x14ac:dyDescent="0.25">
      <c r="I1044">
        <v>984</v>
      </c>
      <c r="J1044">
        <f t="shared" ca="1" si="62"/>
        <v>8.5209542324077028E-2</v>
      </c>
      <c r="K1044">
        <f t="shared" ca="1" si="63"/>
        <v>0.42598516838888861</v>
      </c>
      <c r="L1044">
        <f t="shared" ca="1" si="64"/>
        <v>9.762712073906181E-2</v>
      </c>
      <c r="M1044">
        <f t="shared" ca="1" si="65"/>
        <v>223.54229149190058</v>
      </c>
    </row>
    <row r="1045" spans="9:13" x14ac:dyDescent="0.25">
      <c r="I1045">
        <v>985</v>
      </c>
      <c r="J1045">
        <f t="shared" ca="1" si="62"/>
        <v>1.6663674528531749E-2</v>
      </c>
      <c r="K1045">
        <f t="shared" ca="1" si="63"/>
        <v>0.4676007580771907</v>
      </c>
      <c r="L1045">
        <f t="shared" ca="1" si="64"/>
        <v>0.11757007329860451</v>
      </c>
      <c r="M1045">
        <f t="shared" ca="1" si="65"/>
        <v>138.83805716712948</v>
      </c>
    </row>
    <row r="1046" spans="9:13" x14ac:dyDescent="0.25">
      <c r="I1046">
        <v>986</v>
      </c>
      <c r="J1046">
        <f t="shared" ca="1" si="62"/>
        <v>0.11301896033950148</v>
      </c>
      <c r="K1046">
        <f t="shared" ca="1" si="63"/>
        <v>0.42604072508029089</v>
      </c>
      <c r="L1046">
        <f t="shared" ca="1" si="64"/>
        <v>0.10829074324349891</v>
      </c>
      <c r="M1046">
        <f t="shared" ca="1" si="65"/>
        <v>221.66182810869532</v>
      </c>
    </row>
    <row r="1047" spans="9:13" x14ac:dyDescent="0.25">
      <c r="I1047">
        <v>987</v>
      </c>
      <c r="J1047">
        <f t="shared" ca="1" si="62"/>
        <v>0.1218156261295473</v>
      </c>
      <c r="K1047">
        <f t="shared" ca="1" si="63"/>
        <v>0.40925571063745431</v>
      </c>
      <c r="L1047">
        <f t="shared" ca="1" si="64"/>
        <v>9.5567426828992025E-2</v>
      </c>
      <c r="M1047">
        <f t="shared" ca="1" si="65"/>
        <v>261.07282937283463</v>
      </c>
    </row>
    <row r="1048" spans="9:13" x14ac:dyDescent="0.25">
      <c r="I1048">
        <v>988</v>
      </c>
      <c r="J1048">
        <f t="shared" ca="1" si="62"/>
        <v>0.11347958358181834</v>
      </c>
      <c r="K1048">
        <f t="shared" ca="1" si="63"/>
        <v>0.45608688922785146</v>
      </c>
      <c r="L1048">
        <f t="shared" ca="1" si="64"/>
        <v>9.8531135638280198E-2</v>
      </c>
      <c r="M1048">
        <f t="shared" ca="1" si="65"/>
        <v>269.19834635938253</v>
      </c>
    </row>
    <row r="1049" spans="9:13" x14ac:dyDescent="0.25">
      <c r="I1049">
        <v>989</v>
      </c>
      <c r="J1049">
        <f t="shared" ca="1" si="62"/>
        <v>4.1228661159623564E-2</v>
      </c>
      <c r="K1049">
        <f t="shared" ca="1" si="63"/>
        <v>0.38309820272768064</v>
      </c>
      <c r="L1049">
        <f t="shared" ca="1" si="64"/>
        <v>0.10923356152964397</v>
      </c>
      <c r="M1049">
        <f t="shared" ca="1" si="65"/>
        <v>140.66767109458064</v>
      </c>
    </row>
    <row r="1050" spans="9:13" x14ac:dyDescent="0.25">
      <c r="I1050">
        <v>990</v>
      </c>
      <c r="J1050">
        <f t="shared" ca="1" si="62"/>
        <v>6.5649698476956869E-2</v>
      </c>
      <c r="K1050">
        <f t="shared" ca="1" si="63"/>
        <v>0.43241034163658165</v>
      </c>
      <c r="L1050">
        <f t="shared" ca="1" si="64"/>
        <v>0.11814551472599977</v>
      </c>
      <c r="M1050">
        <f t="shared" ca="1" si="65"/>
        <v>161.71728854490604</v>
      </c>
    </row>
    <row r="1051" spans="9:13" x14ac:dyDescent="0.25">
      <c r="I1051">
        <v>991</v>
      </c>
      <c r="J1051">
        <f t="shared" ca="1" si="62"/>
        <v>9.9809853589584663E-2</v>
      </c>
      <c r="K1051">
        <f t="shared" ca="1" si="63"/>
        <v>0.45783690672776028</v>
      </c>
      <c r="L1051">
        <f t="shared" ca="1" si="64"/>
        <v>0.11401575770577074</v>
      </c>
      <c r="M1051">
        <f t="shared" ca="1" si="65"/>
        <v>210.10276812838288</v>
      </c>
    </row>
    <row r="1052" spans="9:13" x14ac:dyDescent="0.25">
      <c r="I1052">
        <v>992</v>
      </c>
      <c r="J1052">
        <f t="shared" ca="1" si="62"/>
        <v>6.9588996152352062E-2</v>
      </c>
      <c r="K1052">
        <f t="shared" ca="1" si="63"/>
        <v>0.47034734320440452</v>
      </c>
      <c r="L1052">
        <f t="shared" ca="1" si="64"/>
        <v>0.11539504692212083</v>
      </c>
      <c r="M1052">
        <f t="shared" ca="1" si="65"/>
        <v>184.76589217248002</v>
      </c>
    </row>
    <row r="1053" spans="9:13" x14ac:dyDescent="0.25">
      <c r="I1053">
        <v>993</v>
      </c>
      <c r="J1053">
        <f t="shared" ca="1" si="62"/>
        <v>0.11094563488704294</v>
      </c>
      <c r="K1053">
        <f t="shared" ca="1" si="63"/>
        <v>0.3961607858523557</v>
      </c>
      <c r="L1053">
        <f t="shared" ca="1" si="64"/>
        <v>9.4742766883579757E-2</v>
      </c>
      <c r="M1053">
        <f t="shared" ca="1" si="65"/>
        <v>243.41283750476626</v>
      </c>
    </row>
    <row r="1054" spans="9:13" x14ac:dyDescent="0.25">
      <c r="I1054">
        <v>994</v>
      </c>
      <c r="J1054">
        <f t="shared" ca="1" si="62"/>
        <v>5.1270946455929695E-2</v>
      </c>
      <c r="K1054">
        <f t="shared" ca="1" si="63"/>
        <v>0.45335055061067042</v>
      </c>
      <c r="L1054">
        <f t="shared" ca="1" si="64"/>
        <v>9.1711696643765259E-2</v>
      </c>
      <c r="M1054">
        <f t="shared" ca="1" si="65"/>
        <v>220.68555502079019</v>
      </c>
    </row>
    <row r="1055" spans="9:13" x14ac:dyDescent="0.25">
      <c r="I1055">
        <v>995</v>
      </c>
      <c r="J1055">
        <f t="shared" ca="1" si="62"/>
        <v>6.401212197771329E-2</v>
      </c>
      <c r="K1055">
        <f t="shared" ca="1" si="63"/>
        <v>0.37360489297106136</v>
      </c>
      <c r="L1055">
        <f t="shared" ca="1" si="64"/>
        <v>0.10716769760015082</v>
      </c>
      <c r="M1055">
        <f t="shared" ca="1" si="65"/>
        <v>156.82530874647247</v>
      </c>
    </row>
    <row r="1056" spans="9:13" x14ac:dyDescent="0.25">
      <c r="I1056">
        <v>996</v>
      </c>
      <c r="J1056">
        <f t="shared" ca="1" si="62"/>
        <v>6.0023249964584829E-2</v>
      </c>
      <c r="K1056">
        <f t="shared" ca="1" si="63"/>
        <v>0.47873566831878472</v>
      </c>
      <c r="L1056">
        <f t="shared" ca="1" si="64"/>
        <v>0.12054051401117973</v>
      </c>
      <c r="M1056">
        <f t="shared" ca="1" si="65"/>
        <v>170.14647458760999</v>
      </c>
    </row>
    <row r="1057" spans="9:13" x14ac:dyDescent="0.25">
      <c r="I1057">
        <v>997</v>
      </c>
      <c r="J1057">
        <f t="shared" ca="1" si="62"/>
        <v>8.8488748251975308E-2</v>
      </c>
      <c r="K1057">
        <f t="shared" ca="1" si="63"/>
        <v>0.47386783597019605</v>
      </c>
      <c r="L1057">
        <f t="shared" ca="1" si="64"/>
        <v>0.10778411287113919</v>
      </c>
      <c r="M1057">
        <f t="shared" ca="1" si="65"/>
        <v>221.87935068661403</v>
      </c>
    </row>
    <row r="1058" spans="9:13" x14ac:dyDescent="0.25">
      <c r="I1058">
        <v>998</v>
      </c>
      <c r="J1058">
        <f t="shared" ca="1" si="62"/>
        <v>6.5692210873533066E-2</v>
      </c>
      <c r="K1058">
        <f t="shared" ca="1" si="63"/>
        <v>0.46672288483266183</v>
      </c>
      <c r="L1058">
        <f t="shared" ca="1" si="64"/>
        <v>8.9729286421866256E-2</v>
      </c>
      <c r="M1058">
        <f t="shared" ca="1" si="65"/>
        <v>250.77753289441733</v>
      </c>
    </row>
    <row r="1059" spans="9:13" x14ac:dyDescent="0.25">
      <c r="I1059">
        <v>999</v>
      </c>
      <c r="J1059">
        <f t="shared" ca="1" si="62"/>
        <v>0.11291377789743065</v>
      </c>
      <c r="K1059">
        <f t="shared" ca="1" si="63"/>
        <v>0.45055722755224187</v>
      </c>
      <c r="L1059">
        <f t="shared" ca="1" si="64"/>
        <v>0.1107192701502021</v>
      </c>
      <c r="M1059">
        <f t="shared" ca="1" si="65"/>
        <v>227.81123080465161</v>
      </c>
    </row>
    <row r="1060" spans="9:13" x14ac:dyDescent="0.25">
      <c r="I1060">
        <v>1000</v>
      </c>
      <c r="J1060">
        <f t="shared" ca="1" si="62"/>
        <v>9.7680061447986008E-2</v>
      </c>
      <c r="K1060">
        <f t="shared" ca="1" si="63"/>
        <v>0.49895114756028086</v>
      </c>
      <c r="L1060">
        <f t="shared" ca="1" si="64"/>
        <v>0.11170547466827328</v>
      </c>
      <c r="M1060">
        <f t="shared" ca="1" si="65"/>
        <v>232.87763423014542</v>
      </c>
    </row>
  </sheetData>
  <pageMargins left="0.3" right="0.3" top="0.3" bottom="0.3" header="0.3" footer="0.3"/>
  <pageSetup paperSize="9" scale="93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7FBEA-0587-4681-9CFF-8C0ADF0AFB83}">
  <sheetPr codeName="Sheet9"/>
  <dimension ref="A1:B131"/>
  <sheetViews>
    <sheetView topLeftCell="A37" workbookViewId="0">
      <selection activeCell="A2" sqref="A2:XFD3"/>
    </sheetView>
  </sheetViews>
  <sheetFormatPr defaultRowHeight="15" x14ac:dyDescent="0.25"/>
  <cols>
    <col min="1" max="1" width="16.28515625" bestFit="1" customWidth="1"/>
    <col min="2" max="2" width="16.85546875" bestFit="1" customWidth="1"/>
  </cols>
  <sheetData>
    <row r="1" spans="1:2" x14ac:dyDescent="0.25">
      <c r="A1" t="s">
        <v>173</v>
      </c>
      <c r="B1" t="s">
        <v>174</v>
      </c>
    </row>
    <row r="2" spans="1:2" x14ac:dyDescent="0.25">
      <c r="A2" s="1">
        <v>42156</v>
      </c>
      <c r="B2">
        <v>29.14793396</v>
      </c>
    </row>
    <row r="3" spans="1:2" x14ac:dyDescent="0.25">
      <c r="A3" s="1">
        <v>42186</v>
      </c>
      <c r="B3">
        <v>29.48956871</v>
      </c>
    </row>
    <row r="4" spans="1:2" x14ac:dyDescent="0.25">
      <c r="A4" s="1">
        <v>42217</v>
      </c>
      <c r="B4">
        <v>26.85295868</v>
      </c>
    </row>
    <row r="5" spans="1:2" x14ac:dyDescent="0.25">
      <c r="A5" s="1">
        <v>42248</v>
      </c>
      <c r="B5">
        <v>26.110540390000001</v>
      </c>
    </row>
    <row r="6" spans="1:2" x14ac:dyDescent="0.25">
      <c r="A6" s="1">
        <v>42278</v>
      </c>
      <c r="B6">
        <v>27.034641270000002</v>
      </c>
    </row>
    <row r="7" spans="1:2" x14ac:dyDescent="0.25">
      <c r="A7" s="1">
        <v>42309</v>
      </c>
      <c r="B7">
        <v>27.492214199999999</v>
      </c>
    </row>
    <row r="8" spans="1:2" x14ac:dyDescent="0.25">
      <c r="A8" s="1">
        <v>42339</v>
      </c>
      <c r="B8">
        <v>26.81248093</v>
      </c>
    </row>
    <row r="9" spans="1:2" x14ac:dyDescent="0.25">
      <c r="A9" s="1">
        <v>42370</v>
      </c>
      <c r="B9">
        <v>23.730947489999998</v>
      </c>
    </row>
    <row r="10" spans="1:2" x14ac:dyDescent="0.25">
      <c r="A10" s="1">
        <v>42401</v>
      </c>
      <c r="B10">
        <v>22.22226715</v>
      </c>
    </row>
    <row r="11" spans="1:2" x14ac:dyDescent="0.25">
      <c r="A11" s="1">
        <v>42430</v>
      </c>
      <c r="B11">
        <v>24.813196179999998</v>
      </c>
    </row>
    <row r="12" spans="1:2" x14ac:dyDescent="0.25">
      <c r="A12" s="1">
        <v>42461</v>
      </c>
      <c r="B12">
        <v>25.38845062</v>
      </c>
    </row>
    <row r="13" spans="1:2" x14ac:dyDescent="0.25">
      <c r="A13" s="1">
        <v>42491</v>
      </c>
      <c r="B13">
        <v>22.879360200000001</v>
      </c>
    </row>
    <row r="14" spans="1:2" x14ac:dyDescent="0.25">
      <c r="A14" s="1">
        <v>42522</v>
      </c>
      <c r="B14">
        <v>22.7061882</v>
      </c>
    </row>
    <row r="15" spans="1:2" x14ac:dyDescent="0.25">
      <c r="A15" s="1">
        <v>42552</v>
      </c>
      <c r="B15">
        <v>23.77485085</v>
      </c>
    </row>
    <row r="16" spans="1:2" x14ac:dyDescent="0.25">
      <c r="A16" s="1">
        <v>42583</v>
      </c>
      <c r="B16">
        <v>25.081184390000001</v>
      </c>
    </row>
    <row r="17" spans="1:2" x14ac:dyDescent="0.25">
      <c r="A17" s="1">
        <v>42614</v>
      </c>
      <c r="B17">
        <v>26.476364140000001</v>
      </c>
    </row>
    <row r="18" spans="1:2" x14ac:dyDescent="0.25">
      <c r="A18" s="1">
        <v>42644</v>
      </c>
      <c r="B18">
        <v>27.090333940000001</v>
      </c>
    </row>
    <row r="19" spans="1:2" x14ac:dyDescent="0.25">
      <c r="A19" s="1">
        <v>42675</v>
      </c>
      <c r="B19">
        <v>25.744180679999999</v>
      </c>
    </row>
    <row r="20" spans="1:2" x14ac:dyDescent="0.25">
      <c r="A20" s="1">
        <v>42705</v>
      </c>
      <c r="B20">
        <v>27.001461030000002</v>
      </c>
    </row>
    <row r="21" spans="1:2" x14ac:dyDescent="0.25">
      <c r="A21" s="1">
        <v>42736</v>
      </c>
      <c r="B21">
        <v>28.08141518</v>
      </c>
    </row>
    <row r="22" spans="1:2" x14ac:dyDescent="0.25">
      <c r="A22" s="1">
        <v>42767</v>
      </c>
      <c r="B22">
        <v>31.70919228</v>
      </c>
    </row>
    <row r="23" spans="1:2" x14ac:dyDescent="0.25">
      <c r="A23" s="1">
        <v>42795</v>
      </c>
      <c r="B23">
        <v>33.330368040000003</v>
      </c>
    </row>
    <row r="24" spans="1:2" x14ac:dyDescent="0.25">
      <c r="A24" s="1">
        <v>42826</v>
      </c>
      <c r="B24">
        <v>33.480720519999998</v>
      </c>
    </row>
    <row r="25" spans="1:2" x14ac:dyDescent="0.25">
      <c r="A25" s="1">
        <v>42856</v>
      </c>
      <c r="B25">
        <v>36.249984740000002</v>
      </c>
    </row>
    <row r="26" spans="1:2" x14ac:dyDescent="0.25">
      <c r="A26" s="1">
        <v>42887</v>
      </c>
      <c r="B26">
        <v>36.099040989999999</v>
      </c>
    </row>
    <row r="27" spans="1:2" x14ac:dyDescent="0.25">
      <c r="A27" s="1">
        <v>42917</v>
      </c>
      <c r="B27">
        <v>35.636932369999997</v>
      </c>
    </row>
    <row r="28" spans="1:2" x14ac:dyDescent="0.25">
      <c r="A28" s="1">
        <v>42948</v>
      </c>
      <c r="B28">
        <v>38.23411179</v>
      </c>
    </row>
    <row r="29" spans="1:2" x14ac:dyDescent="0.25">
      <c r="A29" s="1">
        <v>42979</v>
      </c>
      <c r="B29">
        <v>38.245773319999998</v>
      </c>
    </row>
    <row r="30" spans="1:2" x14ac:dyDescent="0.25">
      <c r="A30" s="1">
        <v>43009</v>
      </c>
      <c r="B30">
        <v>39.409103389999999</v>
      </c>
    </row>
    <row r="31" spans="1:2" x14ac:dyDescent="0.25">
      <c r="A31" s="1">
        <v>43040</v>
      </c>
      <c r="B31">
        <v>41.087680820000003</v>
      </c>
    </row>
    <row r="32" spans="1:2" x14ac:dyDescent="0.25">
      <c r="A32" s="1">
        <v>43070</v>
      </c>
      <c r="B32">
        <v>41.277496339999999</v>
      </c>
    </row>
    <row r="33" spans="1:2" x14ac:dyDescent="0.25">
      <c r="A33" s="1">
        <v>43101</v>
      </c>
      <c r="B33">
        <v>41.941974639999998</v>
      </c>
    </row>
    <row r="34" spans="1:2" x14ac:dyDescent="0.25">
      <c r="A34" s="1">
        <v>43132</v>
      </c>
      <c r="B34">
        <v>42.044853209999999</v>
      </c>
    </row>
    <row r="35" spans="1:2" x14ac:dyDescent="0.25">
      <c r="A35" s="1">
        <v>43160</v>
      </c>
      <c r="B35">
        <v>42.690910340000002</v>
      </c>
    </row>
    <row r="36" spans="1:2" x14ac:dyDescent="0.25">
      <c r="A36" s="1">
        <v>43191</v>
      </c>
      <c r="B36">
        <v>41.873367309999999</v>
      </c>
    </row>
    <row r="37" spans="1:2" x14ac:dyDescent="0.25">
      <c r="A37" s="1">
        <v>43221</v>
      </c>
      <c r="B37">
        <v>44.645496369999996</v>
      </c>
    </row>
    <row r="38" spans="1:2" x14ac:dyDescent="0.25">
      <c r="A38" s="1">
        <v>43252</v>
      </c>
      <c r="B38">
        <v>45.746837620000001</v>
      </c>
    </row>
    <row r="39" spans="1:2" x14ac:dyDescent="0.25">
      <c r="A39" s="1">
        <v>43282</v>
      </c>
      <c r="B39">
        <v>45.944938659999998</v>
      </c>
    </row>
    <row r="40" spans="1:2" x14ac:dyDescent="0.25">
      <c r="A40" s="1">
        <v>43313</v>
      </c>
      <c r="B40">
        <v>53.870872499999997</v>
      </c>
    </row>
    <row r="41" spans="1:2" x14ac:dyDescent="0.25">
      <c r="A41" s="1">
        <v>43344</v>
      </c>
      <c r="B41">
        <v>54.043632510000002</v>
      </c>
    </row>
    <row r="42" spans="1:2" x14ac:dyDescent="0.25">
      <c r="A42" s="1">
        <v>43374</v>
      </c>
      <c r="B42">
        <v>54.921653749999997</v>
      </c>
    </row>
    <row r="43" spans="1:2" x14ac:dyDescent="0.25">
      <c r="A43" s="1">
        <v>43405</v>
      </c>
      <c r="B43">
        <v>52.590545650000003</v>
      </c>
    </row>
    <row r="44" spans="1:2" x14ac:dyDescent="0.25">
      <c r="A44" s="1">
        <v>43435</v>
      </c>
      <c r="B44">
        <v>43.892086030000002</v>
      </c>
    </row>
    <row r="45" spans="1:2" x14ac:dyDescent="0.25">
      <c r="A45" s="1">
        <v>43466</v>
      </c>
      <c r="B45">
        <v>39.527107239999999</v>
      </c>
    </row>
    <row r="46" spans="1:2" x14ac:dyDescent="0.25">
      <c r="A46" s="1">
        <v>43497</v>
      </c>
      <c r="B46">
        <v>41.707214360000002</v>
      </c>
    </row>
    <row r="47" spans="1:2" x14ac:dyDescent="0.25">
      <c r="A47" s="1">
        <v>43525</v>
      </c>
      <c r="B47">
        <v>46.529769899999998</v>
      </c>
    </row>
    <row r="48" spans="1:2" x14ac:dyDescent="0.25">
      <c r="A48" s="1">
        <v>43556</v>
      </c>
      <c r="B48">
        <v>49.48483658</v>
      </c>
    </row>
    <row r="49" spans="1:2" x14ac:dyDescent="0.25">
      <c r="A49" s="1">
        <v>43586</v>
      </c>
      <c r="B49">
        <v>50.503246310000002</v>
      </c>
    </row>
    <row r="50" spans="1:2" x14ac:dyDescent="0.25">
      <c r="A50" s="1">
        <v>43617</v>
      </c>
      <c r="B50">
        <v>47.836639400000003</v>
      </c>
    </row>
    <row r="51" spans="1:2" x14ac:dyDescent="0.25">
      <c r="A51" s="1">
        <v>43647</v>
      </c>
      <c r="B51">
        <v>51.006584169999996</v>
      </c>
    </row>
    <row r="52" spans="1:2" x14ac:dyDescent="0.25">
      <c r="A52" s="1">
        <v>43678</v>
      </c>
      <c r="B52">
        <v>51.104248050000002</v>
      </c>
    </row>
    <row r="53" spans="1:2" x14ac:dyDescent="0.25">
      <c r="A53" s="1">
        <v>43709</v>
      </c>
      <c r="B53">
        <v>53.827213290000003</v>
      </c>
    </row>
    <row r="54" spans="1:2" x14ac:dyDescent="0.25">
      <c r="A54" s="1">
        <v>43739</v>
      </c>
      <c r="B54">
        <v>59.854759219999998</v>
      </c>
    </row>
    <row r="55" spans="1:2" x14ac:dyDescent="0.25">
      <c r="A55" s="1">
        <v>43770</v>
      </c>
      <c r="B55">
        <v>64.563865660000005</v>
      </c>
    </row>
    <row r="56" spans="1:2" x14ac:dyDescent="0.25">
      <c r="A56" s="1">
        <v>43800</v>
      </c>
      <c r="B56">
        <v>70.78544617</v>
      </c>
    </row>
    <row r="57" spans="1:2" x14ac:dyDescent="0.25">
      <c r="A57" s="1">
        <v>43831</v>
      </c>
      <c r="B57">
        <v>78.183418270000004</v>
      </c>
    </row>
    <row r="58" spans="1:2" x14ac:dyDescent="0.25">
      <c r="A58" s="1">
        <v>43862</v>
      </c>
      <c r="B58">
        <v>79.059997559999999</v>
      </c>
    </row>
    <row r="59" spans="1:2" x14ac:dyDescent="0.25">
      <c r="A59" s="1">
        <v>43891</v>
      </c>
      <c r="B59">
        <v>73.14983368</v>
      </c>
    </row>
    <row r="60" spans="1:2" x14ac:dyDescent="0.25">
      <c r="A60" s="1">
        <v>43922</v>
      </c>
      <c r="B60">
        <v>70.98967743</v>
      </c>
    </row>
    <row r="61" spans="1:2" x14ac:dyDescent="0.25">
      <c r="A61" s="1">
        <v>43952</v>
      </c>
      <c r="B61">
        <v>77.343040470000005</v>
      </c>
    </row>
    <row r="62" spans="1:2" x14ac:dyDescent="0.25">
      <c r="A62" s="1">
        <v>43983</v>
      </c>
      <c r="B62">
        <v>88.802894589999994</v>
      </c>
    </row>
    <row r="63" spans="1:2" x14ac:dyDescent="0.25">
      <c r="A63" s="1">
        <v>44013</v>
      </c>
      <c r="B63">
        <v>102.9786835</v>
      </c>
    </row>
    <row r="64" spans="1:2" x14ac:dyDescent="0.25">
      <c r="A64" s="1">
        <v>44044</v>
      </c>
      <c r="B64">
        <v>125.2807083</v>
      </c>
    </row>
    <row r="65" spans="1:2" x14ac:dyDescent="0.25">
      <c r="A65" s="1">
        <v>44075</v>
      </c>
      <c r="B65">
        <v>130.27095030000001</v>
      </c>
    </row>
    <row r="66" spans="1:2" x14ac:dyDescent="0.25">
      <c r="A66" s="1">
        <v>44105</v>
      </c>
      <c r="B66">
        <v>120.7758942</v>
      </c>
    </row>
    <row r="67" spans="1:2" x14ac:dyDescent="0.25">
      <c r="A67" s="1">
        <v>44136</v>
      </c>
      <c r="B67">
        <v>116.99684139999999</v>
      </c>
    </row>
    <row r="68" spans="1:2" x14ac:dyDescent="0.25">
      <c r="A68" s="1">
        <v>44166</v>
      </c>
      <c r="B68">
        <v>132.93681340000001</v>
      </c>
    </row>
    <row r="69" spans="1:2" x14ac:dyDescent="0.25">
      <c r="A69" s="1">
        <v>44197</v>
      </c>
      <c r="B69">
        <v>139.22914119999999</v>
      </c>
    </row>
    <row r="70" spans="1:2" x14ac:dyDescent="0.25">
      <c r="A70" s="1">
        <v>44228</v>
      </c>
      <c r="B70">
        <v>133.61758420000001</v>
      </c>
    </row>
    <row r="71" spans="1:2" x14ac:dyDescent="0.25">
      <c r="A71" s="1">
        <v>44256</v>
      </c>
      <c r="B71">
        <v>124.4668884</v>
      </c>
    </row>
    <row r="72" spans="1:2" x14ac:dyDescent="0.25">
      <c r="A72" s="1">
        <v>44287</v>
      </c>
      <c r="B72">
        <v>131.3335419</v>
      </c>
    </row>
    <row r="73" spans="1:2" x14ac:dyDescent="0.25">
      <c r="A73" s="1">
        <v>44317</v>
      </c>
      <c r="B73">
        <v>129.0933838</v>
      </c>
    </row>
    <row r="74" spans="1:2" x14ac:dyDescent="0.25">
      <c r="A74" s="1">
        <v>44348</v>
      </c>
      <c r="B74">
        <v>133.6250153</v>
      </c>
    </row>
    <row r="75" spans="1:2" x14ac:dyDescent="0.25">
      <c r="A75" s="1">
        <v>44378</v>
      </c>
      <c r="B75">
        <v>145.51817320000001</v>
      </c>
    </row>
    <row r="76" spans="1:2" x14ac:dyDescent="0.25">
      <c r="A76" s="1">
        <v>44409</v>
      </c>
      <c r="B76">
        <v>149.61532589999999</v>
      </c>
    </row>
    <row r="77" spans="1:2" x14ac:dyDescent="0.25">
      <c r="A77" s="1">
        <v>44440</v>
      </c>
      <c r="B77">
        <v>153.10363770000001</v>
      </c>
    </row>
    <row r="78" spans="1:2" x14ac:dyDescent="0.25">
      <c r="A78" s="1">
        <v>44470</v>
      </c>
      <c r="B78">
        <v>149.07794190000001</v>
      </c>
    </row>
    <row r="79" spans="1:2" x14ac:dyDescent="0.25">
      <c r="A79" s="1">
        <v>44501</v>
      </c>
      <c r="B79">
        <v>161.7523041</v>
      </c>
    </row>
    <row r="80" spans="1:2" x14ac:dyDescent="0.25">
      <c r="A80" s="1">
        <v>44531</v>
      </c>
      <c r="B80">
        <v>176.4597473</v>
      </c>
    </row>
    <row r="81" spans="1:2" x14ac:dyDescent="0.25">
      <c r="A81" s="1">
        <v>44562</v>
      </c>
      <c r="B81">
        <v>178.10363770000001</v>
      </c>
    </row>
    <row r="82" spans="1:2" x14ac:dyDescent="0.25">
      <c r="A82" s="1">
        <v>44593</v>
      </c>
      <c r="B82">
        <v>172.71641539999999</v>
      </c>
    </row>
    <row r="83" spans="1:2" x14ac:dyDescent="0.25">
      <c r="A83" s="1">
        <v>44621</v>
      </c>
      <c r="B83">
        <v>175.34226989999999</v>
      </c>
    </row>
    <row r="84" spans="1:2" x14ac:dyDescent="0.25">
      <c r="A84" s="1">
        <v>44652</v>
      </c>
      <c r="B84">
        <v>174.83277889999999</v>
      </c>
    </row>
    <row r="85" spans="1:2" x14ac:dyDescent="0.25">
      <c r="A85" s="1">
        <v>44682</v>
      </c>
      <c r="B85">
        <v>162.6638336</v>
      </c>
    </row>
    <row r="86" spans="1:2" x14ac:dyDescent="0.25">
      <c r="A86" s="1">
        <v>44713</v>
      </c>
      <c r="B86">
        <v>148.3709259</v>
      </c>
    </row>
    <row r="87" spans="1:2" x14ac:dyDescent="0.25">
      <c r="A87" s="1">
        <v>44743</v>
      </c>
      <c r="B87">
        <v>159.45872499999999</v>
      </c>
    </row>
    <row r="88" spans="1:2" x14ac:dyDescent="0.25">
      <c r="A88" s="1">
        <v>44774</v>
      </c>
      <c r="B88">
        <v>171.51054379999999</v>
      </c>
    </row>
    <row r="89" spans="1:2" x14ac:dyDescent="0.25">
      <c r="A89" s="1">
        <v>44805</v>
      </c>
      <c r="B89">
        <v>160.58418270000001</v>
      </c>
    </row>
    <row r="90" spans="1:2" x14ac:dyDescent="0.25">
      <c r="A90" s="1">
        <v>44835</v>
      </c>
      <c r="B90">
        <v>153.0281372</v>
      </c>
    </row>
    <row r="91" spans="1:2" x14ac:dyDescent="0.25">
      <c r="A91" s="1">
        <v>44866</v>
      </c>
      <c r="B91">
        <v>148.9021759</v>
      </c>
    </row>
    <row r="92" spans="1:2" x14ac:dyDescent="0.25">
      <c r="A92" s="1">
        <v>44896</v>
      </c>
      <c r="B92">
        <v>145.96920779999999</v>
      </c>
    </row>
    <row r="93" spans="1:2" x14ac:dyDescent="0.25">
      <c r="A93" s="1">
        <v>44927</v>
      </c>
      <c r="B93">
        <v>143.62675479999999</v>
      </c>
    </row>
    <row r="94" spans="1:2" x14ac:dyDescent="0.25">
      <c r="A94" s="1">
        <v>44958</v>
      </c>
      <c r="B94">
        <v>153.11186219999999</v>
      </c>
    </row>
    <row r="95" spans="1:2" x14ac:dyDescent="0.25">
      <c r="A95" s="1">
        <v>44986</v>
      </c>
      <c r="B95">
        <v>162.5451813</v>
      </c>
    </row>
    <row r="96" spans="1:2" x14ac:dyDescent="0.25">
      <c r="A96" s="1">
        <v>45017</v>
      </c>
      <c r="B96">
        <v>167.25691219999999</v>
      </c>
    </row>
    <row r="97" spans="1:2" x14ac:dyDescent="0.25">
      <c r="A97" s="1">
        <v>45047</v>
      </c>
      <c r="B97">
        <v>175.0098572</v>
      </c>
    </row>
    <row r="98" spans="1:2" x14ac:dyDescent="0.25">
      <c r="A98" s="1">
        <v>45078</v>
      </c>
      <c r="B98">
        <v>191.4645233</v>
      </c>
    </row>
    <row r="99" spans="1:2" x14ac:dyDescent="0.25">
      <c r="A99" s="1">
        <v>45108</v>
      </c>
      <c r="B99">
        <v>193.91247559999999</v>
      </c>
    </row>
    <row r="100" spans="1:2" x14ac:dyDescent="0.25">
      <c r="A100" s="1">
        <v>45139</v>
      </c>
      <c r="B100">
        <v>193.08332820000001</v>
      </c>
    </row>
    <row r="101" spans="1:2" x14ac:dyDescent="0.25">
      <c r="A101" s="1">
        <v>45170</v>
      </c>
      <c r="B101">
        <v>187.502533</v>
      </c>
    </row>
    <row r="102" spans="1:2" x14ac:dyDescent="0.25">
      <c r="A102" s="1">
        <v>45200</v>
      </c>
      <c r="B102">
        <v>178.61668399999999</v>
      </c>
    </row>
    <row r="103" spans="1:2" x14ac:dyDescent="0.25">
      <c r="A103" s="1">
        <v>45231</v>
      </c>
      <c r="B103">
        <v>189.48155209999999</v>
      </c>
    </row>
    <row r="104" spans="1:2" x14ac:dyDescent="0.25">
      <c r="A104" s="1">
        <v>45261</v>
      </c>
      <c r="B104">
        <v>196.0730896</v>
      </c>
    </row>
    <row r="105" spans="1:2" x14ac:dyDescent="0.25">
      <c r="A105" s="1">
        <v>45292</v>
      </c>
      <c r="B105">
        <v>193.1732025</v>
      </c>
    </row>
    <row r="106" spans="1:2" x14ac:dyDescent="0.25">
      <c r="A106" s="1">
        <v>45323</v>
      </c>
      <c r="B106">
        <v>187.46257019999999</v>
      </c>
    </row>
    <row r="107" spans="1:2" x14ac:dyDescent="0.25">
      <c r="A107" s="1">
        <v>45352</v>
      </c>
      <c r="B107">
        <v>178.03970340000001</v>
      </c>
    </row>
    <row r="108" spans="1:2" x14ac:dyDescent="0.25">
      <c r="A108" s="1">
        <v>45383</v>
      </c>
      <c r="B108">
        <v>174.95773320000001</v>
      </c>
    </row>
    <row r="109" spans="1:2" x14ac:dyDescent="0.25">
      <c r="A109" s="1">
        <v>45413</v>
      </c>
      <c r="B109">
        <v>190.8737946</v>
      </c>
    </row>
    <row r="110" spans="1:2" x14ac:dyDescent="0.25">
      <c r="A110" s="1">
        <v>45444</v>
      </c>
      <c r="B110">
        <v>215.00714110000001</v>
      </c>
    </row>
    <row r="111" spans="1:2" x14ac:dyDescent="0.25">
      <c r="A111" s="1">
        <v>45474</v>
      </c>
      <c r="B111">
        <v>233.01785280000001</v>
      </c>
    </row>
    <row r="112" spans="1:2" x14ac:dyDescent="0.25">
      <c r="A112" s="1">
        <v>45505</v>
      </c>
      <c r="B112">
        <v>228.2903748</v>
      </c>
    </row>
    <row r="113" spans="1:2" x14ac:dyDescent="0.25">
      <c r="A113" s="1">
        <v>45536</v>
      </c>
      <c r="B113">
        <v>231.47941589999999</v>
      </c>
    </row>
    <row r="114" spans="1:2" x14ac:dyDescent="0.25">
      <c r="A114" s="1">
        <v>45566</v>
      </c>
      <c r="B114">
        <v>234.93672179999999</v>
      </c>
    </row>
    <row r="115" spans="1:2" x14ac:dyDescent="0.25">
      <c r="A115" s="1">
        <v>45597</v>
      </c>
      <c r="B115">
        <v>236.04058839999999</v>
      </c>
    </row>
    <row r="116" spans="1:2" x14ac:dyDescent="0.25">
      <c r="A116" s="1">
        <v>45627</v>
      </c>
      <c r="B116">
        <v>257.61270139999999</v>
      </c>
    </row>
    <row r="117" spans="1:2" x14ac:dyDescent="0.25">
      <c r="A117" s="1">
        <v>45658</v>
      </c>
      <c r="B117">
        <v>243.66891480000001</v>
      </c>
    </row>
    <row r="118" spans="1:2" x14ac:dyDescent="0.25">
      <c r="A118" s="1">
        <v>45689</v>
      </c>
      <c r="B118">
        <v>246.02771000000001</v>
      </c>
    </row>
    <row r="119" spans="1:2" x14ac:dyDescent="0.25">
      <c r="A119" s="1">
        <v>45717</v>
      </c>
      <c r="B119">
        <v>238.03254699999999</v>
      </c>
    </row>
    <row r="120" spans="1:2" x14ac:dyDescent="0.25">
      <c r="A120" s="1">
        <v>45748</v>
      </c>
      <c r="B120">
        <v>222.91842650000001</v>
      </c>
    </row>
    <row r="121" spans="1:2" x14ac:dyDescent="0.25">
      <c r="A121" s="1">
        <v>45778</v>
      </c>
      <c r="B121">
        <v>212.39431759999999</v>
      </c>
    </row>
    <row r="122" spans="1:2" x14ac:dyDescent="0.25">
      <c r="A122" s="1">
        <v>45809</v>
      </c>
      <c r="B122">
        <v>204.54754639999999</v>
      </c>
    </row>
    <row r="123" spans="1:2" x14ac:dyDescent="0.25">
      <c r="A123" s="1">
        <v>45839</v>
      </c>
      <c r="B123">
        <v>213.749527</v>
      </c>
    </row>
    <row r="124" spans="1:2" x14ac:dyDescent="0.25">
      <c r="A124" s="1">
        <v>45870</v>
      </c>
      <c r="B124">
        <v>232.88612370000001</v>
      </c>
    </row>
    <row r="125" spans="1:2" x14ac:dyDescent="0.25">
      <c r="A125" s="1">
        <v>45901</v>
      </c>
      <c r="B125">
        <v>256.38131709999999</v>
      </c>
    </row>
    <row r="126" spans="1:2" x14ac:dyDescent="0.25">
      <c r="A126" s="1">
        <v>45931</v>
      </c>
      <c r="B126">
        <v>270.883667</v>
      </c>
    </row>
    <row r="127" spans="1:2" x14ac:dyDescent="0.25">
      <c r="A127" s="1">
        <v>45962</v>
      </c>
      <c r="B127">
        <v>278.58932499999997</v>
      </c>
    </row>
    <row r="128" spans="1:2" x14ac:dyDescent="0.25">
      <c r="A128" s="1">
        <v>45992</v>
      </c>
      <c r="B128">
        <v>285.92245480000003</v>
      </c>
    </row>
    <row r="129" spans="1:2" x14ac:dyDescent="0.25">
      <c r="A129" s="1">
        <v>46023</v>
      </c>
      <c r="B129">
        <v>270.75665279999998</v>
      </c>
    </row>
    <row r="130" spans="1:2" x14ac:dyDescent="0.25">
      <c r="A130" s="1">
        <v>46054</v>
      </c>
      <c r="B130">
        <v>277.85998540000003</v>
      </c>
    </row>
    <row r="131" spans="1:2" x14ac:dyDescent="0.25">
      <c r="A131" s="1">
        <v>46082</v>
      </c>
      <c r="B131">
        <v>264.72000120000001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BADD6-0FC5-4993-9ED4-9788B886FCF1}">
  <sheetPr codeName="Sheet10"/>
  <dimension ref="A1:B133"/>
  <sheetViews>
    <sheetView workbookViewId="0">
      <selection activeCell="A2" sqref="A2"/>
    </sheetView>
  </sheetViews>
  <sheetFormatPr defaultRowHeight="15" x14ac:dyDescent="0.25"/>
  <cols>
    <col min="1" max="1" width="9.7109375" bestFit="1" customWidth="1"/>
    <col min="2" max="2" width="8.140625" bestFit="1" customWidth="1"/>
  </cols>
  <sheetData>
    <row r="1" spans="1:2" x14ac:dyDescent="0.25">
      <c r="A1" t="s">
        <v>171</v>
      </c>
      <c r="B1" t="s">
        <v>172</v>
      </c>
    </row>
    <row r="2" spans="1:2" x14ac:dyDescent="0.25">
      <c r="A2" s="1">
        <v>42156</v>
      </c>
      <c r="B2">
        <v>205.85</v>
      </c>
    </row>
    <row r="3" spans="1:2" x14ac:dyDescent="0.25">
      <c r="A3" s="1">
        <v>42186</v>
      </c>
      <c r="B3">
        <v>210.5</v>
      </c>
    </row>
    <row r="4" spans="1:2" x14ac:dyDescent="0.25">
      <c r="A4" s="1">
        <v>42217</v>
      </c>
      <c r="B4">
        <v>197.67</v>
      </c>
    </row>
    <row r="5" spans="1:2" x14ac:dyDescent="0.25">
      <c r="A5" s="1">
        <v>42248</v>
      </c>
      <c r="B5">
        <v>191.63</v>
      </c>
    </row>
    <row r="6" spans="1:2" x14ac:dyDescent="0.25">
      <c r="A6" s="1">
        <v>42278</v>
      </c>
      <c r="B6">
        <v>207.93</v>
      </c>
    </row>
    <row r="7" spans="1:2" x14ac:dyDescent="0.25">
      <c r="A7" s="1">
        <v>42309</v>
      </c>
      <c r="B7">
        <v>208.69</v>
      </c>
    </row>
    <row r="8" spans="1:2" x14ac:dyDescent="0.25">
      <c r="A8" s="1">
        <v>42339</v>
      </c>
      <c r="B8">
        <v>203.87</v>
      </c>
    </row>
    <row r="9" spans="1:2" x14ac:dyDescent="0.25">
      <c r="A9" s="1">
        <v>42370</v>
      </c>
      <c r="B9">
        <v>193.72</v>
      </c>
    </row>
    <row r="10" spans="1:2" x14ac:dyDescent="0.25">
      <c r="A10" s="1">
        <v>42401</v>
      </c>
      <c r="B10">
        <v>193.56</v>
      </c>
    </row>
    <row r="11" spans="1:2" x14ac:dyDescent="0.25">
      <c r="A11" s="1">
        <v>42430</v>
      </c>
      <c r="B11">
        <v>205.52</v>
      </c>
    </row>
    <row r="12" spans="1:2" x14ac:dyDescent="0.25">
      <c r="A12" s="1">
        <v>42461</v>
      </c>
      <c r="B12">
        <v>206.33</v>
      </c>
    </row>
    <row r="13" spans="1:2" x14ac:dyDescent="0.25">
      <c r="A13" s="1">
        <v>42491</v>
      </c>
      <c r="B13">
        <v>209.84</v>
      </c>
    </row>
    <row r="14" spans="1:2" x14ac:dyDescent="0.25">
      <c r="A14" s="1">
        <v>42522</v>
      </c>
      <c r="B14">
        <v>209.47</v>
      </c>
    </row>
    <row r="15" spans="1:2" x14ac:dyDescent="0.25">
      <c r="A15" s="1">
        <v>42552</v>
      </c>
      <c r="B15">
        <v>217.12</v>
      </c>
    </row>
    <row r="16" spans="1:2" x14ac:dyDescent="0.25">
      <c r="A16" s="1">
        <v>42583</v>
      </c>
      <c r="B16">
        <v>217.38</v>
      </c>
    </row>
    <row r="17" spans="1:2" x14ac:dyDescent="0.25">
      <c r="A17" s="1">
        <v>42614</v>
      </c>
      <c r="B17">
        <v>216.3</v>
      </c>
    </row>
    <row r="18" spans="1:2" x14ac:dyDescent="0.25">
      <c r="A18" s="1">
        <v>42644</v>
      </c>
      <c r="B18">
        <v>212.55</v>
      </c>
    </row>
    <row r="19" spans="1:2" x14ac:dyDescent="0.25">
      <c r="A19" s="1">
        <v>42675</v>
      </c>
      <c r="B19">
        <v>220.38</v>
      </c>
    </row>
    <row r="20" spans="1:2" x14ac:dyDescent="0.25">
      <c r="A20" s="1">
        <v>42705</v>
      </c>
      <c r="B20">
        <v>223.53</v>
      </c>
    </row>
    <row r="21" spans="1:2" x14ac:dyDescent="0.25">
      <c r="A21" s="1">
        <v>42736</v>
      </c>
      <c r="B21">
        <v>227.53</v>
      </c>
    </row>
    <row r="22" spans="1:2" x14ac:dyDescent="0.25">
      <c r="A22" s="1">
        <v>42767</v>
      </c>
      <c r="B22">
        <v>236.47</v>
      </c>
    </row>
    <row r="23" spans="1:2" x14ac:dyDescent="0.25">
      <c r="A23" s="1">
        <v>42795</v>
      </c>
      <c r="B23">
        <v>235.74</v>
      </c>
    </row>
    <row r="24" spans="1:2" x14ac:dyDescent="0.25">
      <c r="A24" s="1">
        <v>42826</v>
      </c>
      <c r="B24">
        <v>238.08</v>
      </c>
    </row>
    <row r="25" spans="1:2" x14ac:dyDescent="0.25">
      <c r="A25" s="1">
        <v>42856</v>
      </c>
      <c r="B25">
        <v>241.44</v>
      </c>
    </row>
    <row r="26" spans="1:2" x14ac:dyDescent="0.25">
      <c r="A26" s="1">
        <v>42887</v>
      </c>
      <c r="B26">
        <v>241.8</v>
      </c>
    </row>
    <row r="27" spans="1:2" x14ac:dyDescent="0.25">
      <c r="A27" s="1">
        <v>42917</v>
      </c>
      <c r="B27">
        <v>246.77</v>
      </c>
    </row>
    <row r="28" spans="1:2" x14ac:dyDescent="0.25">
      <c r="A28" s="1">
        <v>42948</v>
      </c>
      <c r="B28">
        <v>247.49</v>
      </c>
    </row>
    <row r="29" spans="1:2" x14ac:dyDescent="0.25">
      <c r="A29" s="1">
        <v>42979</v>
      </c>
      <c r="B29">
        <v>251.23</v>
      </c>
    </row>
    <row r="30" spans="1:2" x14ac:dyDescent="0.25">
      <c r="A30" s="1">
        <v>43009</v>
      </c>
      <c r="B30">
        <v>257.14999999999998</v>
      </c>
    </row>
    <row r="31" spans="1:2" x14ac:dyDescent="0.25">
      <c r="A31" s="1">
        <v>43040</v>
      </c>
      <c r="B31">
        <v>265.01</v>
      </c>
    </row>
    <row r="32" spans="1:2" x14ac:dyDescent="0.25">
      <c r="A32" s="1">
        <v>43070</v>
      </c>
      <c r="B32">
        <v>266.86</v>
      </c>
    </row>
    <row r="33" spans="1:2" x14ac:dyDescent="0.25">
      <c r="A33" s="1">
        <v>43101</v>
      </c>
      <c r="B33">
        <v>281.89999999999998</v>
      </c>
    </row>
    <row r="34" spans="1:2" x14ac:dyDescent="0.25">
      <c r="A34" s="1">
        <v>43132</v>
      </c>
      <c r="B34">
        <v>271.64999999999998</v>
      </c>
    </row>
    <row r="35" spans="1:2" x14ac:dyDescent="0.25">
      <c r="A35" s="1">
        <v>43160</v>
      </c>
      <c r="B35">
        <v>263.14999999999998</v>
      </c>
    </row>
    <row r="36" spans="1:2" x14ac:dyDescent="0.25">
      <c r="A36" s="1">
        <v>43191</v>
      </c>
      <c r="B36">
        <v>264.51</v>
      </c>
    </row>
    <row r="37" spans="1:2" x14ac:dyDescent="0.25">
      <c r="A37" s="1">
        <v>43221</v>
      </c>
      <c r="B37">
        <v>270.94</v>
      </c>
    </row>
    <row r="38" spans="1:2" x14ac:dyDescent="0.25">
      <c r="A38" s="1">
        <v>43252</v>
      </c>
      <c r="B38">
        <v>271.27999999999997</v>
      </c>
    </row>
    <row r="39" spans="1:2" x14ac:dyDescent="0.25">
      <c r="A39" s="1">
        <v>43282</v>
      </c>
      <c r="B39">
        <v>281.33</v>
      </c>
    </row>
    <row r="40" spans="1:2" x14ac:dyDescent="0.25">
      <c r="A40" s="1">
        <v>43313</v>
      </c>
      <c r="B40">
        <v>290.31</v>
      </c>
    </row>
    <row r="41" spans="1:2" x14ac:dyDescent="0.25">
      <c r="A41" s="1">
        <v>43344</v>
      </c>
      <c r="B41">
        <v>290.72000000000003</v>
      </c>
    </row>
    <row r="42" spans="1:2" x14ac:dyDescent="0.25">
      <c r="A42" s="1">
        <v>43374</v>
      </c>
      <c r="B42">
        <v>270.63</v>
      </c>
    </row>
    <row r="43" spans="1:2" x14ac:dyDescent="0.25">
      <c r="A43" s="1">
        <v>43405</v>
      </c>
      <c r="B43">
        <v>275.64999999999998</v>
      </c>
    </row>
    <row r="44" spans="1:2" x14ac:dyDescent="0.25">
      <c r="A44" s="1">
        <v>43435</v>
      </c>
      <c r="B44">
        <v>249.92</v>
      </c>
    </row>
    <row r="45" spans="1:2" x14ac:dyDescent="0.25">
      <c r="A45" s="1">
        <v>43466</v>
      </c>
      <c r="B45">
        <v>269.93</v>
      </c>
    </row>
    <row r="46" spans="1:2" x14ac:dyDescent="0.25">
      <c r="A46" s="1">
        <v>43497</v>
      </c>
      <c r="B46">
        <v>278.68</v>
      </c>
    </row>
    <row r="47" spans="1:2" x14ac:dyDescent="0.25">
      <c r="A47" s="1">
        <v>43525</v>
      </c>
      <c r="B47">
        <v>282.48</v>
      </c>
    </row>
    <row r="48" spans="1:2" x14ac:dyDescent="0.25">
      <c r="A48" s="1">
        <v>43556</v>
      </c>
      <c r="B48">
        <v>294.02</v>
      </c>
    </row>
    <row r="49" spans="1:2" x14ac:dyDescent="0.25">
      <c r="A49" s="1">
        <v>43586</v>
      </c>
      <c r="B49">
        <v>275.27</v>
      </c>
    </row>
    <row r="50" spans="1:2" x14ac:dyDescent="0.25">
      <c r="A50" s="1">
        <v>43617</v>
      </c>
      <c r="B50">
        <v>293</v>
      </c>
    </row>
    <row r="51" spans="1:2" x14ac:dyDescent="0.25">
      <c r="A51" s="1">
        <v>43647</v>
      </c>
      <c r="B51">
        <v>297.43</v>
      </c>
    </row>
    <row r="52" spans="1:2" x14ac:dyDescent="0.25">
      <c r="A52" s="1">
        <v>43678</v>
      </c>
      <c r="B52">
        <v>292.45</v>
      </c>
    </row>
    <row r="53" spans="1:2" x14ac:dyDescent="0.25">
      <c r="A53" s="1">
        <v>43709</v>
      </c>
      <c r="B53">
        <v>296.77</v>
      </c>
    </row>
    <row r="54" spans="1:2" x14ac:dyDescent="0.25">
      <c r="A54" s="1">
        <v>43739</v>
      </c>
      <c r="B54">
        <v>303.33</v>
      </c>
    </row>
    <row r="55" spans="1:2" x14ac:dyDescent="0.25">
      <c r="A55" s="1">
        <v>43770</v>
      </c>
      <c r="B55">
        <v>314.31</v>
      </c>
    </row>
    <row r="56" spans="1:2" x14ac:dyDescent="0.25">
      <c r="A56" s="1">
        <v>43800</v>
      </c>
      <c r="B56">
        <v>321.86</v>
      </c>
    </row>
    <row r="57" spans="1:2" x14ac:dyDescent="0.25">
      <c r="A57" s="1">
        <v>43831</v>
      </c>
      <c r="B57">
        <v>321.73</v>
      </c>
    </row>
    <row r="58" spans="1:2" x14ac:dyDescent="0.25">
      <c r="A58" s="1">
        <v>43862</v>
      </c>
      <c r="B58">
        <v>296.26</v>
      </c>
    </row>
    <row r="59" spans="1:2" x14ac:dyDescent="0.25">
      <c r="A59" s="1">
        <v>43891</v>
      </c>
      <c r="B59">
        <v>257.75</v>
      </c>
    </row>
    <row r="60" spans="1:2" x14ac:dyDescent="0.25">
      <c r="A60" s="1">
        <v>43922</v>
      </c>
      <c r="B60">
        <v>290.48</v>
      </c>
    </row>
    <row r="61" spans="1:2" x14ac:dyDescent="0.25">
      <c r="A61" s="1">
        <v>43952</v>
      </c>
      <c r="B61">
        <v>304.32</v>
      </c>
    </row>
    <row r="62" spans="1:2" x14ac:dyDescent="0.25">
      <c r="A62" s="1">
        <v>43983</v>
      </c>
      <c r="B62">
        <v>308.36</v>
      </c>
    </row>
    <row r="63" spans="1:2" x14ac:dyDescent="0.25">
      <c r="A63" s="1">
        <v>44013</v>
      </c>
      <c r="B63">
        <v>326.52</v>
      </c>
    </row>
    <row r="64" spans="1:2" x14ac:dyDescent="0.25">
      <c r="A64" s="1">
        <v>44044</v>
      </c>
      <c r="B64">
        <v>349.31</v>
      </c>
    </row>
    <row r="65" spans="1:2" x14ac:dyDescent="0.25">
      <c r="A65" s="1">
        <v>44075</v>
      </c>
      <c r="B65">
        <v>334.89</v>
      </c>
    </row>
    <row r="66" spans="1:2" x14ac:dyDescent="0.25">
      <c r="A66" s="1">
        <v>44105</v>
      </c>
      <c r="B66">
        <v>326.54000000000002</v>
      </c>
    </row>
    <row r="67" spans="1:2" x14ac:dyDescent="0.25">
      <c r="A67" s="1">
        <v>44136</v>
      </c>
      <c r="B67">
        <v>362.06</v>
      </c>
    </row>
    <row r="68" spans="1:2" x14ac:dyDescent="0.25">
      <c r="A68" s="1">
        <v>44166</v>
      </c>
      <c r="B68">
        <v>373.88</v>
      </c>
    </row>
    <row r="69" spans="1:2" x14ac:dyDescent="0.25">
      <c r="A69" s="1">
        <v>44197</v>
      </c>
      <c r="B69">
        <v>370.07</v>
      </c>
    </row>
    <row r="70" spans="1:2" x14ac:dyDescent="0.25">
      <c r="A70" s="1">
        <v>44228</v>
      </c>
      <c r="B70">
        <v>380.36</v>
      </c>
    </row>
    <row r="71" spans="1:2" x14ac:dyDescent="0.25">
      <c r="A71" s="1">
        <v>44256</v>
      </c>
      <c r="B71">
        <v>396.33</v>
      </c>
    </row>
    <row r="72" spans="1:2" x14ac:dyDescent="0.25">
      <c r="A72" s="1">
        <v>44287</v>
      </c>
      <c r="B72">
        <v>417.3</v>
      </c>
    </row>
    <row r="73" spans="1:2" x14ac:dyDescent="0.25">
      <c r="A73" s="1">
        <v>44317</v>
      </c>
      <c r="B73">
        <v>420.04</v>
      </c>
    </row>
    <row r="74" spans="1:2" x14ac:dyDescent="0.25">
      <c r="A74" s="1">
        <v>44348</v>
      </c>
      <c r="B74">
        <v>428.06</v>
      </c>
    </row>
    <row r="75" spans="1:2" x14ac:dyDescent="0.25">
      <c r="A75" s="1">
        <v>44378</v>
      </c>
      <c r="B75">
        <v>438.51</v>
      </c>
    </row>
    <row r="76" spans="1:2" x14ac:dyDescent="0.25">
      <c r="A76" s="1">
        <v>44409</v>
      </c>
      <c r="B76">
        <v>451.56</v>
      </c>
    </row>
    <row r="77" spans="1:2" x14ac:dyDescent="0.25">
      <c r="A77" s="1">
        <v>44440</v>
      </c>
      <c r="B77">
        <v>429.14</v>
      </c>
    </row>
    <row r="78" spans="1:2" x14ac:dyDescent="0.25">
      <c r="A78" s="1">
        <v>44470</v>
      </c>
      <c r="B78">
        <v>459.25</v>
      </c>
    </row>
    <row r="79" spans="1:2" x14ac:dyDescent="0.25">
      <c r="A79" s="1">
        <v>44501</v>
      </c>
      <c r="B79">
        <v>455.56</v>
      </c>
    </row>
    <row r="80" spans="1:2" x14ac:dyDescent="0.25">
      <c r="A80" s="1">
        <v>44531</v>
      </c>
      <c r="B80">
        <v>474.96</v>
      </c>
    </row>
    <row r="81" spans="1:2" x14ac:dyDescent="0.25">
      <c r="A81" s="1">
        <v>44562</v>
      </c>
      <c r="B81">
        <v>449.91</v>
      </c>
    </row>
    <row r="82" spans="1:2" x14ac:dyDescent="0.25">
      <c r="A82" s="1">
        <v>44593</v>
      </c>
      <c r="B82">
        <v>436.63</v>
      </c>
    </row>
    <row r="83" spans="1:2" x14ac:dyDescent="0.25">
      <c r="A83" s="1">
        <v>44621</v>
      </c>
      <c r="B83">
        <v>451.64</v>
      </c>
    </row>
    <row r="84" spans="1:2" x14ac:dyDescent="0.25">
      <c r="A84" s="1">
        <v>44652</v>
      </c>
      <c r="B84">
        <v>412</v>
      </c>
    </row>
    <row r="85" spans="1:2" x14ac:dyDescent="0.25">
      <c r="A85" s="1">
        <v>44682</v>
      </c>
      <c r="B85">
        <v>412.93</v>
      </c>
    </row>
    <row r="86" spans="1:2" x14ac:dyDescent="0.25">
      <c r="A86" s="1">
        <v>44713</v>
      </c>
      <c r="B86">
        <v>377.25</v>
      </c>
    </row>
    <row r="87" spans="1:2" x14ac:dyDescent="0.25">
      <c r="A87" s="1">
        <v>44743</v>
      </c>
      <c r="B87">
        <v>411.99</v>
      </c>
    </row>
    <row r="88" spans="1:2" x14ac:dyDescent="0.25">
      <c r="A88" s="1">
        <v>44774</v>
      </c>
      <c r="B88">
        <v>395.18</v>
      </c>
    </row>
    <row r="89" spans="1:2" x14ac:dyDescent="0.25">
      <c r="A89" s="1">
        <v>44805</v>
      </c>
      <c r="B89">
        <v>357.18</v>
      </c>
    </row>
    <row r="90" spans="1:2" x14ac:dyDescent="0.25">
      <c r="A90" s="1">
        <v>44835</v>
      </c>
      <c r="B90">
        <v>386.21</v>
      </c>
    </row>
    <row r="91" spans="1:2" x14ac:dyDescent="0.25">
      <c r="A91" s="1">
        <v>44866</v>
      </c>
      <c r="B91">
        <v>407.68</v>
      </c>
    </row>
    <row r="92" spans="1:2" x14ac:dyDescent="0.25">
      <c r="A92" s="1">
        <v>44896</v>
      </c>
      <c r="B92">
        <v>382.43</v>
      </c>
    </row>
    <row r="93" spans="1:2" x14ac:dyDescent="0.25">
      <c r="A93" s="1">
        <v>44927</v>
      </c>
      <c r="B93">
        <v>406.48</v>
      </c>
    </row>
    <row r="94" spans="1:2" x14ac:dyDescent="0.25">
      <c r="A94" s="1">
        <v>44958</v>
      </c>
      <c r="B94">
        <v>396.26</v>
      </c>
    </row>
    <row r="95" spans="1:2" x14ac:dyDescent="0.25">
      <c r="A95" s="1">
        <v>44986</v>
      </c>
      <c r="B95">
        <v>409.39</v>
      </c>
    </row>
    <row r="96" spans="1:2" x14ac:dyDescent="0.25">
      <c r="A96" s="1">
        <v>45017</v>
      </c>
      <c r="B96">
        <v>415.93</v>
      </c>
    </row>
    <row r="97" spans="1:2" x14ac:dyDescent="0.25">
      <c r="A97" s="1">
        <v>45047</v>
      </c>
      <c r="B97">
        <v>417.85</v>
      </c>
    </row>
    <row r="98" spans="1:2" x14ac:dyDescent="0.25">
      <c r="A98" s="1">
        <v>45078</v>
      </c>
      <c r="B98">
        <v>443.28</v>
      </c>
    </row>
    <row r="99" spans="1:2" x14ac:dyDescent="0.25">
      <c r="A99" s="1">
        <v>45108</v>
      </c>
      <c r="B99">
        <v>457.79</v>
      </c>
    </row>
    <row r="100" spans="1:2" x14ac:dyDescent="0.25">
      <c r="A100" s="1">
        <v>45139</v>
      </c>
      <c r="B100">
        <v>450.35</v>
      </c>
    </row>
    <row r="101" spans="1:2" x14ac:dyDescent="0.25">
      <c r="A101" s="1">
        <v>45170</v>
      </c>
      <c r="B101">
        <v>427.48</v>
      </c>
    </row>
    <row r="102" spans="1:2" x14ac:dyDescent="0.25">
      <c r="A102" s="1">
        <v>45200</v>
      </c>
      <c r="B102">
        <v>418.2</v>
      </c>
    </row>
    <row r="103" spans="1:2" x14ac:dyDescent="0.25">
      <c r="A103" s="1">
        <v>45231</v>
      </c>
      <c r="B103">
        <v>456.4</v>
      </c>
    </row>
    <row r="104" spans="1:2" x14ac:dyDescent="0.25">
      <c r="A104" s="1">
        <v>45261</v>
      </c>
      <c r="B104">
        <v>475.31</v>
      </c>
    </row>
    <row r="105" spans="1:2" x14ac:dyDescent="0.25">
      <c r="A105" s="1">
        <v>45292</v>
      </c>
      <c r="B105">
        <v>482.88</v>
      </c>
    </row>
    <row r="106" spans="1:2" x14ac:dyDescent="0.25">
      <c r="A106" s="1">
        <v>45323</v>
      </c>
      <c r="B106">
        <v>508.08</v>
      </c>
    </row>
    <row r="107" spans="1:2" x14ac:dyDescent="0.25">
      <c r="A107" s="1">
        <v>45352</v>
      </c>
      <c r="B107">
        <v>523.07000000000005</v>
      </c>
    </row>
    <row r="108" spans="1:2" x14ac:dyDescent="0.25">
      <c r="A108" s="1">
        <v>45383</v>
      </c>
      <c r="B108">
        <v>501.98</v>
      </c>
    </row>
    <row r="109" spans="1:2" x14ac:dyDescent="0.25">
      <c r="A109" s="1">
        <v>45413</v>
      </c>
      <c r="B109">
        <v>527.37</v>
      </c>
    </row>
    <row r="110" spans="1:2" x14ac:dyDescent="0.25">
      <c r="A110" s="1">
        <v>45444</v>
      </c>
      <c r="B110">
        <v>544.22</v>
      </c>
    </row>
    <row r="111" spans="1:2" x14ac:dyDescent="0.25">
      <c r="A111" s="1">
        <v>45474</v>
      </c>
      <c r="B111">
        <v>550.80999999999995</v>
      </c>
    </row>
    <row r="112" spans="1:2" x14ac:dyDescent="0.25">
      <c r="A112" s="1">
        <v>45505</v>
      </c>
      <c r="B112">
        <v>563.67999999999995</v>
      </c>
    </row>
    <row r="113" spans="1:2" x14ac:dyDescent="0.25">
      <c r="A113" s="1">
        <v>45536</v>
      </c>
      <c r="B113">
        <v>573.76</v>
      </c>
    </row>
    <row r="114" spans="1:2" x14ac:dyDescent="0.25">
      <c r="A114" s="1">
        <v>45566</v>
      </c>
      <c r="B114">
        <v>568.64</v>
      </c>
    </row>
    <row r="115" spans="1:2" x14ac:dyDescent="0.25">
      <c r="A115" s="1">
        <v>45597</v>
      </c>
      <c r="B115">
        <v>602.54999999999995</v>
      </c>
    </row>
    <row r="116" spans="1:2" x14ac:dyDescent="0.25">
      <c r="A116" s="1">
        <v>45627</v>
      </c>
      <c r="B116">
        <v>586.08000000000004</v>
      </c>
    </row>
    <row r="117" spans="1:2" x14ac:dyDescent="0.25">
      <c r="A117" s="1">
        <v>45658</v>
      </c>
      <c r="B117">
        <v>601.82000000000005</v>
      </c>
    </row>
    <row r="118" spans="1:2" x14ac:dyDescent="0.25">
      <c r="A118" s="1">
        <v>45689</v>
      </c>
      <c r="B118">
        <v>594.17999999999995</v>
      </c>
    </row>
    <row r="119" spans="1:2" x14ac:dyDescent="0.25">
      <c r="A119" s="1">
        <v>45717</v>
      </c>
      <c r="B119">
        <v>559.39</v>
      </c>
    </row>
    <row r="120" spans="1:2" x14ac:dyDescent="0.25">
      <c r="A120" s="1">
        <v>45748</v>
      </c>
      <c r="B120">
        <v>554.54</v>
      </c>
    </row>
    <row r="121" spans="1:2" x14ac:dyDescent="0.25">
      <c r="A121" s="1">
        <v>45778</v>
      </c>
      <c r="B121">
        <v>589.39</v>
      </c>
    </row>
    <row r="122" spans="1:2" x14ac:dyDescent="0.25">
      <c r="A122" s="1">
        <v>45809</v>
      </c>
      <c r="B122">
        <v>617.85</v>
      </c>
    </row>
    <row r="123" spans="1:2" x14ac:dyDescent="0.25">
      <c r="A123" s="1">
        <v>45839</v>
      </c>
      <c r="B123">
        <v>632.08000000000004</v>
      </c>
    </row>
    <row r="124" spans="1:2" x14ac:dyDescent="0.25">
      <c r="A124" s="1">
        <v>45870</v>
      </c>
      <c r="B124">
        <v>645.04999999999995</v>
      </c>
    </row>
    <row r="125" spans="1:2" x14ac:dyDescent="0.25">
      <c r="A125" s="1">
        <v>45901</v>
      </c>
      <c r="B125">
        <v>666.18</v>
      </c>
    </row>
    <row r="126" spans="1:2" x14ac:dyDescent="0.25">
      <c r="A126" s="1">
        <v>45931</v>
      </c>
      <c r="B126">
        <v>682.06</v>
      </c>
    </row>
    <row r="127" spans="1:2" x14ac:dyDescent="0.25">
      <c r="A127" s="1">
        <v>45962</v>
      </c>
      <c r="B127">
        <v>683.39</v>
      </c>
    </row>
    <row r="128" spans="1:2" x14ac:dyDescent="0.25">
      <c r="A128" s="1">
        <v>45992</v>
      </c>
      <c r="B128">
        <v>681.92</v>
      </c>
    </row>
    <row r="129" spans="1:2" x14ac:dyDescent="0.25">
      <c r="A129" s="1">
        <v>46023</v>
      </c>
      <c r="B129">
        <v>691.97</v>
      </c>
    </row>
    <row r="130" spans="1:2" x14ac:dyDescent="0.25">
      <c r="A130" s="1">
        <v>46054</v>
      </c>
      <c r="B130">
        <v>685.99</v>
      </c>
    </row>
    <row r="131" spans="1:2" x14ac:dyDescent="0.25">
      <c r="A131" s="1">
        <v>46082</v>
      </c>
      <c r="B131">
        <v>650.34</v>
      </c>
    </row>
    <row r="132" spans="1:2" x14ac:dyDescent="0.25">
      <c r="A132" s="1">
        <v>46113</v>
      </c>
      <c r="B132">
        <v>718.66</v>
      </c>
    </row>
    <row r="133" spans="1:2" x14ac:dyDescent="0.25">
      <c r="A133" s="1">
        <v>46143</v>
      </c>
      <c r="B133">
        <v>754.6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F729F-6063-4829-B7E0-85D9F3CE4A87}">
  <sheetPr codeName="Sheet11"/>
  <dimension ref="A1:B133"/>
  <sheetViews>
    <sheetView workbookViewId="0">
      <selection activeCell="A2" sqref="A2"/>
    </sheetView>
  </sheetViews>
  <sheetFormatPr defaultRowHeight="15" x14ac:dyDescent="0.25"/>
  <cols>
    <col min="1" max="1" width="9.7109375" bestFit="1" customWidth="1"/>
    <col min="2" max="2" width="8.140625" bestFit="1" customWidth="1"/>
  </cols>
  <sheetData>
    <row r="1" spans="1:2" x14ac:dyDescent="0.25">
      <c r="A1" t="s">
        <v>171</v>
      </c>
      <c r="B1" t="s">
        <v>172</v>
      </c>
    </row>
    <row r="2" spans="1:2" x14ac:dyDescent="0.25">
      <c r="A2" s="1">
        <v>42156</v>
      </c>
      <c r="B2">
        <v>44.15</v>
      </c>
    </row>
    <row r="3" spans="1:2" x14ac:dyDescent="0.25">
      <c r="A3" s="1">
        <v>42186</v>
      </c>
      <c r="B3">
        <v>46.7</v>
      </c>
    </row>
    <row r="4" spans="1:2" x14ac:dyDescent="0.25">
      <c r="A4" s="1">
        <v>42217</v>
      </c>
      <c r="B4">
        <v>43.52</v>
      </c>
    </row>
    <row r="5" spans="1:2" x14ac:dyDescent="0.25">
      <c r="A5" s="1">
        <v>42248</v>
      </c>
      <c r="B5">
        <v>44.26</v>
      </c>
    </row>
    <row r="6" spans="1:2" x14ac:dyDescent="0.25">
      <c r="A6" s="1">
        <v>42278</v>
      </c>
      <c r="B6">
        <v>52.64</v>
      </c>
    </row>
    <row r="7" spans="1:2" x14ac:dyDescent="0.25">
      <c r="A7" s="1">
        <v>42309</v>
      </c>
      <c r="B7">
        <v>54.35</v>
      </c>
    </row>
    <row r="8" spans="1:2" x14ac:dyDescent="0.25">
      <c r="A8" s="1">
        <v>42339</v>
      </c>
      <c r="B8">
        <v>55.48</v>
      </c>
    </row>
    <row r="9" spans="1:2" x14ac:dyDescent="0.25">
      <c r="A9" s="1">
        <v>42370</v>
      </c>
      <c r="B9">
        <v>55.09</v>
      </c>
    </row>
    <row r="10" spans="1:2" x14ac:dyDescent="0.25">
      <c r="A10" s="1">
        <v>42401</v>
      </c>
      <c r="B10">
        <v>50.88</v>
      </c>
    </row>
    <row r="11" spans="1:2" x14ac:dyDescent="0.25">
      <c r="A11" s="1">
        <v>42430</v>
      </c>
      <c r="B11">
        <v>55.23</v>
      </c>
    </row>
    <row r="12" spans="1:2" x14ac:dyDescent="0.25">
      <c r="A12" s="1">
        <v>42461</v>
      </c>
      <c r="B12">
        <v>49.87</v>
      </c>
    </row>
    <row r="13" spans="1:2" x14ac:dyDescent="0.25">
      <c r="A13" s="1">
        <v>42491</v>
      </c>
      <c r="B13">
        <v>53</v>
      </c>
    </row>
    <row r="14" spans="1:2" x14ac:dyDescent="0.25">
      <c r="A14" s="1">
        <v>42522</v>
      </c>
      <c r="B14">
        <v>51.17</v>
      </c>
    </row>
    <row r="15" spans="1:2" x14ac:dyDescent="0.25">
      <c r="A15" s="1">
        <v>42552</v>
      </c>
      <c r="B15">
        <v>56.68</v>
      </c>
    </row>
    <row r="16" spans="1:2" x14ac:dyDescent="0.25">
      <c r="A16" s="1">
        <v>42583</v>
      </c>
      <c r="B16">
        <v>57.46</v>
      </c>
    </row>
    <row r="17" spans="1:2" x14ac:dyDescent="0.25">
      <c r="A17" s="1">
        <v>42614</v>
      </c>
      <c r="B17">
        <v>57.6</v>
      </c>
    </row>
    <row r="18" spans="1:2" x14ac:dyDescent="0.25">
      <c r="A18" s="1">
        <v>42644</v>
      </c>
      <c r="B18">
        <v>59.92</v>
      </c>
    </row>
    <row r="19" spans="1:2" x14ac:dyDescent="0.25">
      <c r="A19" s="1">
        <v>42675</v>
      </c>
      <c r="B19">
        <v>60.26</v>
      </c>
    </row>
    <row r="20" spans="1:2" x14ac:dyDescent="0.25">
      <c r="A20" s="1">
        <v>42705</v>
      </c>
      <c r="B20">
        <v>62.14</v>
      </c>
    </row>
    <row r="21" spans="1:2" x14ac:dyDescent="0.25">
      <c r="A21" s="1">
        <v>42736</v>
      </c>
      <c r="B21">
        <v>64.650000000000006</v>
      </c>
    </row>
    <row r="22" spans="1:2" x14ac:dyDescent="0.25">
      <c r="A22" s="1">
        <v>42767</v>
      </c>
      <c r="B22">
        <v>63.98</v>
      </c>
    </row>
    <row r="23" spans="1:2" x14ac:dyDescent="0.25">
      <c r="A23" s="1">
        <v>42795</v>
      </c>
      <c r="B23">
        <v>65.86</v>
      </c>
    </row>
    <row r="24" spans="1:2" x14ac:dyDescent="0.25">
      <c r="A24" s="1">
        <v>42826</v>
      </c>
      <c r="B24">
        <v>68.459999999999994</v>
      </c>
    </row>
    <row r="25" spans="1:2" x14ac:dyDescent="0.25">
      <c r="A25" s="1">
        <v>42856</v>
      </c>
      <c r="B25">
        <v>69.84</v>
      </c>
    </row>
    <row r="26" spans="1:2" x14ac:dyDescent="0.25">
      <c r="A26" s="1">
        <v>42887</v>
      </c>
      <c r="B26">
        <v>68.930000000000007</v>
      </c>
    </row>
    <row r="27" spans="1:2" x14ac:dyDescent="0.25">
      <c r="A27" s="1">
        <v>42917</v>
      </c>
      <c r="B27">
        <v>72.7</v>
      </c>
    </row>
    <row r="28" spans="1:2" x14ac:dyDescent="0.25">
      <c r="A28" s="1">
        <v>42948</v>
      </c>
      <c r="B28">
        <v>74.77</v>
      </c>
    </row>
    <row r="29" spans="1:2" x14ac:dyDescent="0.25">
      <c r="A29" s="1">
        <v>42979</v>
      </c>
      <c r="B29">
        <v>74.489999999999995</v>
      </c>
    </row>
    <row r="30" spans="1:2" x14ac:dyDescent="0.25">
      <c r="A30" s="1">
        <v>43009</v>
      </c>
      <c r="B30">
        <v>83.18</v>
      </c>
    </row>
    <row r="31" spans="1:2" x14ac:dyDescent="0.25">
      <c r="A31" s="1">
        <v>43040</v>
      </c>
      <c r="B31">
        <v>84.17</v>
      </c>
    </row>
    <row r="32" spans="1:2" x14ac:dyDescent="0.25">
      <c r="A32" s="1">
        <v>43070</v>
      </c>
      <c r="B32">
        <v>85.54</v>
      </c>
    </row>
    <row r="33" spans="1:2" x14ac:dyDescent="0.25">
      <c r="A33" s="1">
        <v>43101</v>
      </c>
      <c r="B33">
        <v>95.01</v>
      </c>
    </row>
    <row r="34" spans="1:2" x14ac:dyDescent="0.25">
      <c r="A34" s="1">
        <v>43132</v>
      </c>
      <c r="B34">
        <v>93.77</v>
      </c>
    </row>
    <row r="35" spans="1:2" x14ac:dyDescent="0.25">
      <c r="A35" s="1">
        <v>43160</v>
      </c>
      <c r="B35">
        <v>91.27</v>
      </c>
    </row>
    <row r="36" spans="1:2" x14ac:dyDescent="0.25">
      <c r="A36" s="1">
        <v>43191</v>
      </c>
      <c r="B36">
        <v>93.52</v>
      </c>
    </row>
    <row r="37" spans="1:2" x14ac:dyDescent="0.25">
      <c r="A37" s="1">
        <v>43221</v>
      </c>
      <c r="B37">
        <v>98.84</v>
      </c>
    </row>
    <row r="38" spans="1:2" x14ac:dyDescent="0.25">
      <c r="A38" s="1">
        <v>43252</v>
      </c>
      <c r="B38">
        <v>98.61</v>
      </c>
    </row>
    <row r="39" spans="1:2" x14ac:dyDescent="0.25">
      <c r="A39" s="1">
        <v>43282</v>
      </c>
      <c r="B39">
        <v>106.08</v>
      </c>
    </row>
    <row r="40" spans="1:2" x14ac:dyDescent="0.25">
      <c r="A40" s="1">
        <v>43313</v>
      </c>
      <c r="B40">
        <v>112.33</v>
      </c>
    </row>
    <row r="41" spans="1:2" x14ac:dyDescent="0.25">
      <c r="A41" s="1">
        <v>43344</v>
      </c>
      <c r="B41">
        <v>114.37</v>
      </c>
    </row>
    <row r="42" spans="1:2" x14ac:dyDescent="0.25">
      <c r="A42" s="1">
        <v>43374</v>
      </c>
      <c r="B42">
        <v>106.81</v>
      </c>
    </row>
    <row r="43" spans="1:2" x14ac:dyDescent="0.25">
      <c r="A43" s="1">
        <v>43405</v>
      </c>
      <c r="B43">
        <v>110.89</v>
      </c>
    </row>
    <row r="44" spans="1:2" x14ac:dyDescent="0.25">
      <c r="A44" s="1">
        <v>43435</v>
      </c>
      <c r="B44">
        <v>101.57</v>
      </c>
    </row>
    <row r="45" spans="1:2" x14ac:dyDescent="0.25">
      <c r="A45" s="1">
        <v>43466</v>
      </c>
      <c r="B45">
        <v>104.43</v>
      </c>
    </row>
    <row r="46" spans="1:2" x14ac:dyDescent="0.25">
      <c r="A46" s="1">
        <v>43497</v>
      </c>
      <c r="B46">
        <v>112.03</v>
      </c>
    </row>
    <row r="47" spans="1:2" x14ac:dyDescent="0.25">
      <c r="A47" s="1">
        <v>43525</v>
      </c>
      <c r="B47">
        <v>117.94</v>
      </c>
    </row>
    <row r="48" spans="1:2" x14ac:dyDescent="0.25">
      <c r="A48" s="1">
        <v>43556</v>
      </c>
      <c r="B48">
        <v>130.6</v>
      </c>
    </row>
    <row r="49" spans="1:2" x14ac:dyDescent="0.25">
      <c r="A49" s="1">
        <v>43586</v>
      </c>
      <c r="B49">
        <v>123.68</v>
      </c>
    </row>
    <row r="50" spans="1:2" x14ac:dyDescent="0.25">
      <c r="A50" s="1">
        <v>43617</v>
      </c>
      <c r="B50">
        <v>133.96</v>
      </c>
    </row>
    <row r="51" spans="1:2" x14ac:dyDescent="0.25">
      <c r="A51" s="1">
        <v>43647</v>
      </c>
      <c r="B51">
        <v>136.27000000000001</v>
      </c>
    </row>
    <row r="52" spans="1:2" x14ac:dyDescent="0.25">
      <c r="A52" s="1">
        <v>43678</v>
      </c>
      <c r="B52">
        <v>137.86000000000001</v>
      </c>
    </row>
    <row r="53" spans="1:2" x14ac:dyDescent="0.25">
      <c r="A53" s="1">
        <v>43709</v>
      </c>
      <c r="B53">
        <v>139.03</v>
      </c>
    </row>
    <row r="54" spans="1:2" x14ac:dyDescent="0.25">
      <c r="A54" s="1">
        <v>43739</v>
      </c>
      <c r="B54">
        <v>143.37</v>
      </c>
    </row>
    <row r="55" spans="1:2" x14ac:dyDescent="0.25">
      <c r="A55" s="1">
        <v>43770</v>
      </c>
      <c r="B55">
        <v>151.38</v>
      </c>
    </row>
    <row r="56" spans="1:2" x14ac:dyDescent="0.25">
      <c r="A56" s="1">
        <v>43800</v>
      </c>
      <c r="B56">
        <v>157.69999999999999</v>
      </c>
    </row>
    <row r="57" spans="1:2" x14ac:dyDescent="0.25">
      <c r="A57" s="1">
        <v>43831</v>
      </c>
      <c r="B57">
        <v>170.23</v>
      </c>
    </row>
    <row r="58" spans="1:2" x14ac:dyDescent="0.25">
      <c r="A58" s="1">
        <v>43862</v>
      </c>
      <c r="B58">
        <v>162.01</v>
      </c>
    </row>
    <row r="59" spans="1:2" x14ac:dyDescent="0.25">
      <c r="A59" s="1">
        <v>43891</v>
      </c>
      <c r="B59">
        <v>157.71</v>
      </c>
    </row>
    <row r="60" spans="1:2" x14ac:dyDescent="0.25">
      <c r="A60" s="1">
        <v>43922</v>
      </c>
      <c r="B60">
        <v>179.21</v>
      </c>
    </row>
    <row r="61" spans="1:2" x14ac:dyDescent="0.25">
      <c r="A61" s="1">
        <v>43952</v>
      </c>
      <c r="B61">
        <v>183.25</v>
      </c>
    </row>
    <row r="62" spans="1:2" x14ac:dyDescent="0.25">
      <c r="A62" s="1">
        <v>43983</v>
      </c>
      <c r="B62">
        <v>203.51</v>
      </c>
    </row>
    <row r="63" spans="1:2" x14ac:dyDescent="0.25">
      <c r="A63" s="1">
        <v>44013</v>
      </c>
      <c r="B63">
        <v>205.01</v>
      </c>
    </row>
    <row r="64" spans="1:2" x14ac:dyDescent="0.25">
      <c r="A64" s="1">
        <v>44044</v>
      </c>
      <c r="B64">
        <v>225.53</v>
      </c>
    </row>
    <row r="65" spans="1:2" x14ac:dyDescent="0.25">
      <c r="A65" s="1">
        <v>44075</v>
      </c>
      <c r="B65">
        <v>210.33</v>
      </c>
    </row>
    <row r="66" spans="1:2" x14ac:dyDescent="0.25">
      <c r="A66" s="1">
        <v>44105</v>
      </c>
      <c r="B66">
        <v>202.47</v>
      </c>
    </row>
    <row r="67" spans="1:2" x14ac:dyDescent="0.25">
      <c r="A67" s="1">
        <v>44136</v>
      </c>
      <c r="B67">
        <v>214.07</v>
      </c>
    </row>
    <row r="68" spans="1:2" x14ac:dyDescent="0.25">
      <c r="A68" s="1">
        <v>44166</v>
      </c>
      <c r="B68">
        <v>222.42</v>
      </c>
    </row>
    <row r="69" spans="1:2" x14ac:dyDescent="0.25">
      <c r="A69" s="1">
        <v>44197</v>
      </c>
      <c r="B69">
        <v>231.96</v>
      </c>
    </row>
    <row r="70" spans="1:2" x14ac:dyDescent="0.25">
      <c r="A70" s="1">
        <v>44228</v>
      </c>
      <c r="B70">
        <v>232.38</v>
      </c>
    </row>
    <row r="71" spans="1:2" x14ac:dyDescent="0.25">
      <c r="A71" s="1">
        <v>44256</v>
      </c>
      <c r="B71">
        <v>235.77</v>
      </c>
    </row>
    <row r="72" spans="1:2" x14ac:dyDescent="0.25">
      <c r="A72" s="1">
        <v>44287</v>
      </c>
      <c r="B72">
        <v>252.18</v>
      </c>
    </row>
    <row r="73" spans="1:2" x14ac:dyDescent="0.25">
      <c r="A73" s="1">
        <v>44317</v>
      </c>
      <c r="B73">
        <v>249.68</v>
      </c>
    </row>
    <row r="74" spans="1:2" x14ac:dyDescent="0.25">
      <c r="A74" s="1">
        <v>44348</v>
      </c>
      <c r="B74">
        <v>270.89999999999998</v>
      </c>
    </row>
    <row r="75" spans="1:2" x14ac:dyDescent="0.25">
      <c r="A75" s="1">
        <v>44378</v>
      </c>
      <c r="B75">
        <v>284.91000000000003</v>
      </c>
    </row>
    <row r="76" spans="1:2" x14ac:dyDescent="0.25">
      <c r="A76" s="1">
        <v>44409</v>
      </c>
      <c r="B76">
        <v>301.88</v>
      </c>
    </row>
    <row r="77" spans="1:2" x14ac:dyDescent="0.25">
      <c r="A77" s="1">
        <v>44440</v>
      </c>
      <c r="B77">
        <v>281.92</v>
      </c>
    </row>
    <row r="78" spans="1:2" x14ac:dyDescent="0.25">
      <c r="A78" s="1">
        <v>44470</v>
      </c>
      <c r="B78">
        <v>331.62</v>
      </c>
    </row>
    <row r="79" spans="1:2" x14ac:dyDescent="0.25">
      <c r="A79" s="1">
        <v>44501</v>
      </c>
      <c r="B79">
        <v>330.59</v>
      </c>
    </row>
    <row r="80" spans="1:2" x14ac:dyDescent="0.25">
      <c r="A80" s="1">
        <v>44531</v>
      </c>
      <c r="B80">
        <v>336.32</v>
      </c>
    </row>
    <row r="81" spans="1:2" x14ac:dyDescent="0.25">
      <c r="A81" s="1">
        <v>44562</v>
      </c>
      <c r="B81">
        <v>310.98</v>
      </c>
    </row>
    <row r="82" spans="1:2" x14ac:dyDescent="0.25">
      <c r="A82" s="1">
        <v>44593</v>
      </c>
      <c r="B82">
        <v>298.79000000000002</v>
      </c>
    </row>
    <row r="83" spans="1:2" x14ac:dyDescent="0.25">
      <c r="A83" s="1">
        <v>44621</v>
      </c>
      <c r="B83">
        <v>308.31</v>
      </c>
    </row>
    <row r="84" spans="1:2" x14ac:dyDescent="0.25">
      <c r="A84" s="1">
        <v>44652</v>
      </c>
      <c r="B84">
        <v>277.52</v>
      </c>
    </row>
    <row r="85" spans="1:2" x14ac:dyDescent="0.25">
      <c r="A85" s="1">
        <v>44682</v>
      </c>
      <c r="B85">
        <v>271.87</v>
      </c>
    </row>
    <row r="86" spans="1:2" x14ac:dyDescent="0.25">
      <c r="A86" s="1">
        <v>44713</v>
      </c>
      <c r="B86">
        <v>256.83</v>
      </c>
    </row>
    <row r="87" spans="1:2" x14ac:dyDescent="0.25">
      <c r="A87" s="1">
        <v>44743</v>
      </c>
      <c r="B87">
        <v>280.74</v>
      </c>
    </row>
    <row r="88" spans="1:2" x14ac:dyDescent="0.25">
      <c r="A88" s="1">
        <v>44774</v>
      </c>
      <c r="B88">
        <v>261.47000000000003</v>
      </c>
    </row>
    <row r="89" spans="1:2" x14ac:dyDescent="0.25">
      <c r="A89" s="1">
        <v>44805</v>
      </c>
      <c r="B89">
        <v>232.9</v>
      </c>
    </row>
    <row r="90" spans="1:2" x14ac:dyDescent="0.25">
      <c r="A90" s="1">
        <v>44835</v>
      </c>
      <c r="B90">
        <v>232.13</v>
      </c>
    </row>
    <row r="91" spans="1:2" x14ac:dyDescent="0.25">
      <c r="A91" s="1">
        <v>44866</v>
      </c>
      <c r="B91">
        <v>255.14</v>
      </c>
    </row>
    <row r="92" spans="1:2" x14ac:dyDescent="0.25">
      <c r="A92" s="1">
        <v>44896</v>
      </c>
      <c r="B92">
        <v>239.82</v>
      </c>
    </row>
    <row r="93" spans="1:2" x14ac:dyDescent="0.25">
      <c r="A93" s="1">
        <v>44927</v>
      </c>
      <c r="B93">
        <v>247.81</v>
      </c>
    </row>
    <row r="94" spans="1:2" x14ac:dyDescent="0.25">
      <c r="A94" s="1">
        <v>44958</v>
      </c>
      <c r="B94">
        <v>249.42</v>
      </c>
    </row>
    <row r="95" spans="1:2" x14ac:dyDescent="0.25">
      <c r="A95" s="1">
        <v>44986</v>
      </c>
      <c r="B95">
        <v>288.3</v>
      </c>
    </row>
    <row r="96" spans="1:2" x14ac:dyDescent="0.25">
      <c r="A96" s="1">
        <v>45017</v>
      </c>
      <c r="B96">
        <v>307.26</v>
      </c>
    </row>
    <row r="97" spans="1:2" x14ac:dyDescent="0.25">
      <c r="A97" s="1">
        <v>45047</v>
      </c>
      <c r="B97">
        <v>328.39</v>
      </c>
    </row>
    <row r="98" spans="1:2" x14ac:dyDescent="0.25">
      <c r="A98" s="1">
        <v>45078</v>
      </c>
      <c r="B98">
        <v>340.54</v>
      </c>
    </row>
    <row r="99" spans="1:2" x14ac:dyDescent="0.25">
      <c r="A99" s="1">
        <v>45108</v>
      </c>
      <c r="B99">
        <v>335.92</v>
      </c>
    </row>
    <row r="100" spans="1:2" x14ac:dyDescent="0.25">
      <c r="A100" s="1">
        <v>45139</v>
      </c>
      <c r="B100">
        <v>327.76</v>
      </c>
    </row>
    <row r="101" spans="1:2" x14ac:dyDescent="0.25">
      <c r="A101" s="1">
        <v>45170</v>
      </c>
      <c r="B101">
        <v>315.75</v>
      </c>
    </row>
    <row r="102" spans="1:2" x14ac:dyDescent="0.25">
      <c r="A102" s="1">
        <v>45200</v>
      </c>
      <c r="B102">
        <v>338.11</v>
      </c>
    </row>
    <row r="103" spans="1:2" x14ac:dyDescent="0.25">
      <c r="A103" s="1">
        <v>45231</v>
      </c>
      <c r="B103">
        <v>378.91</v>
      </c>
    </row>
    <row r="104" spans="1:2" x14ac:dyDescent="0.25">
      <c r="A104" s="1">
        <v>45261</v>
      </c>
      <c r="B104">
        <v>376.04</v>
      </c>
    </row>
    <row r="105" spans="1:2" x14ac:dyDescent="0.25">
      <c r="A105" s="1">
        <v>45292</v>
      </c>
      <c r="B105">
        <v>397.58</v>
      </c>
    </row>
    <row r="106" spans="1:2" x14ac:dyDescent="0.25">
      <c r="A106" s="1">
        <v>45323</v>
      </c>
      <c r="B106">
        <v>413.64</v>
      </c>
    </row>
    <row r="107" spans="1:2" x14ac:dyDescent="0.25">
      <c r="A107" s="1">
        <v>45352</v>
      </c>
      <c r="B107">
        <v>420.72</v>
      </c>
    </row>
    <row r="108" spans="1:2" x14ac:dyDescent="0.25">
      <c r="A108" s="1">
        <v>45383</v>
      </c>
      <c r="B108">
        <v>389.33</v>
      </c>
    </row>
    <row r="109" spans="1:2" x14ac:dyDescent="0.25">
      <c r="A109" s="1">
        <v>45413</v>
      </c>
      <c r="B109">
        <v>415.13</v>
      </c>
    </row>
    <row r="110" spans="1:2" x14ac:dyDescent="0.25">
      <c r="A110" s="1">
        <v>45444</v>
      </c>
      <c r="B110">
        <v>446.95</v>
      </c>
    </row>
    <row r="111" spans="1:2" x14ac:dyDescent="0.25">
      <c r="A111" s="1">
        <v>45474</v>
      </c>
      <c r="B111">
        <v>418.35</v>
      </c>
    </row>
    <row r="112" spans="1:2" x14ac:dyDescent="0.25">
      <c r="A112" s="1">
        <v>45505</v>
      </c>
      <c r="B112">
        <v>417.14</v>
      </c>
    </row>
    <row r="113" spans="1:2" x14ac:dyDescent="0.25">
      <c r="A113" s="1">
        <v>45536</v>
      </c>
      <c r="B113">
        <v>430.3</v>
      </c>
    </row>
    <row r="114" spans="1:2" x14ac:dyDescent="0.25">
      <c r="A114" s="1">
        <v>45566</v>
      </c>
      <c r="B114">
        <v>406.35</v>
      </c>
    </row>
    <row r="115" spans="1:2" x14ac:dyDescent="0.25">
      <c r="A115" s="1">
        <v>45597</v>
      </c>
      <c r="B115">
        <v>423.46</v>
      </c>
    </row>
    <row r="116" spans="1:2" x14ac:dyDescent="0.25">
      <c r="A116" s="1">
        <v>45627</v>
      </c>
      <c r="B116">
        <v>421.5</v>
      </c>
    </row>
    <row r="117" spans="1:2" x14ac:dyDescent="0.25">
      <c r="A117" s="1">
        <v>45658</v>
      </c>
      <c r="B117">
        <v>415.06</v>
      </c>
    </row>
    <row r="118" spans="1:2" x14ac:dyDescent="0.25">
      <c r="A118" s="1">
        <v>45689</v>
      </c>
      <c r="B118">
        <v>396.99</v>
      </c>
    </row>
    <row r="119" spans="1:2" x14ac:dyDescent="0.25">
      <c r="A119" s="1">
        <v>45717</v>
      </c>
      <c r="B119">
        <v>375.39</v>
      </c>
    </row>
    <row r="120" spans="1:2" x14ac:dyDescent="0.25">
      <c r="A120" s="1">
        <v>45748</v>
      </c>
      <c r="B120">
        <v>395.26</v>
      </c>
    </row>
    <row r="121" spans="1:2" x14ac:dyDescent="0.25">
      <c r="A121" s="1">
        <v>45778</v>
      </c>
      <c r="B121">
        <v>460.36</v>
      </c>
    </row>
    <row r="122" spans="1:2" x14ac:dyDescent="0.25">
      <c r="A122" s="1">
        <v>45809</v>
      </c>
      <c r="B122">
        <v>497.41</v>
      </c>
    </row>
    <row r="123" spans="1:2" x14ac:dyDescent="0.25">
      <c r="A123" s="1">
        <v>45839</v>
      </c>
      <c r="B123">
        <v>533.5</v>
      </c>
    </row>
    <row r="124" spans="1:2" x14ac:dyDescent="0.25">
      <c r="A124" s="1">
        <v>45870</v>
      </c>
      <c r="B124">
        <v>506.69</v>
      </c>
    </row>
    <row r="125" spans="1:2" x14ac:dyDescent="0.25">
      <c r="A125" s="1">
        <v>45901</v>
      </c>
      <c r="B125">
        <v>517.95000000000005</v>
      </c>
    </row>
    <row r="126" spans="1:2" x14ac:dyDescent="0.25">
      <c r="A126" s="1">
        <v>45931</v>
      </c>
      <c r="B126">
        <v>517.80999999999995</v>
      </c>
    </row>
    <row r="127" spans="1:2" x14ac:dyDescent="0.25">
      <c r="A127" s="1">
        <v>45962</v>
      </c>
      <c r="B127">
        <v>492.01</v>
      </c>
    </row>
    <row r="128" spans="1:2" x14ac:dyDescent="0.25">
      <c r="A128" s="1">
        <v>45992</v>
      </c>
      <c r="B128">
        <v>483.62</v>
      </c>
    </row>
    <row r="129" spans="1:2" x14ac:dyDescent="0.25">
      <c r="A129" s="1">
        <v>46023</v>
      </c>
      <c r="B129">
        <v>430.29</v>
      </c>
    </row>
    <row r="130" spans="1:2" x14ac:dyDescent="0.25">
      <c r="A130" s="1">
        <v>46054</v>
      </c>
      <c r="B130">
        <v>392.74</v>
      </c>
    </row>
    <row r="131" spans="1:2" x14ac:dyDescent="0.25">
      <c r="A131" s="1">
        <v>46082</v>
      </c>
      <c r="B131">
        <v>370.17</v>
      </c>
    </row>
    <row r="132" spans="1:2" x14ac:dyDescent="0.25">
      <c r="A132" s="1">
        <v>46113</v>
      </c>
      <c r="B132">
        <v>407.78</v>
      </c>
    </row>
    <row r="133" spans="1:2" x14ac:dyDescent="0.25">
      <c r="A133" s="1">
        <v>46143</v>
      </c>
      <c r="B133">
        <v>426.99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ABF80-7D45-4179-93EF-A159F24CB5AC}">
  <sheetPr codeName="Sheet16">
    <tabColor theme="8" tint="-0.499984740745262"/>
  </sheetPr>
  <dimension ref="A1:N90"/>
  <sheetViews>
    <sheetView topLeftCell="A39" zoomScale="84" zoomScaleNormal="84" workbookViewId="0">
      <selection activeCell="M42" sqref="M42"/>
    </sheetView>
  </sheetViews>
  <sheetFormatPr defaultRowHeight="15" x14ac:dyDescent="0.25"/>
  <cols>
    <col min="1" max="1" width="20.85546875" customWidth="1"/>
    <col min="2" max="2" width="18.42578125" customWidth="1"/>
    <col min="3" max="3" width="16.85546875" customWidth="1"/>
    <col min="4" max="4" width="16.28515625" customWidth="1"/>
    <col min="5" max="5" width="12" customWidth="1"/>
    <col min="6" max="6" width="11.7109375" customWidth="1"/>
    <col min="8" max="8" width="13.28515625" customWidth="1"/>
    <col min="9" max="9" width="13.85546875" customWidth="1"/>
    <col min="11" max="11" width="14.85546875" customWidth="1"/>
    <col min="12" max="12" width="13.5703125" customWidth="1"/>
    <col min="13" max="13" width="11" customWidth="1"/>
  </cols>
  <sheetData>
    <row r="1" spans="1:14" ht="21" x14ac:dyDescent="0.35">
      <c r="A1" s="25" t="s">
        <v>217</v>
      </c>
    </row>
    <row r="2" spans="1:14" ht="21" x14ac:dyDescent="0.35">
      <c r="A2" s="25" t="s">
        <v>218</v>
      </c>
    </row>
    <row r="4" spans="1:14" s="46" customFormat="1" x14ac:dyDescent="0.25">
      <c r="A4" s="45" t="s">
        <v>187</v>
      </c>
      <c r="B4" s="45" t="s">
        <v>219</v>
      </c>
      <c r="C4" s="45" t="s">
        <v>220</v>
      </c>
      <c r="D4" s="45" t="s">
        <v>221</v>
      </c>
      <c r="E4" s="45" t="s">
        <v>222</v>
      </c>
    </row>
    <row r="5" spans="1:14" x14ac:dyDescent="0.25">
      <c r="A5" t="s">
        <v>223</v>
      </c>
    </row>
    <row r="6" spans="1:14" x14ac:dyDescent="0.25">
      <c r="A6" t="s">
        <v>132</v>
      </c>
      <c r="B6" s="21">
        <f>CONTROL_PANEL!B12</f>
        <v>8.5000000000000006E-2</v>
      </c>
      <c r="C6">
        <f>CONTROL_PANEL!E12</f>
        <v>0.12</v>
      </c>
      <c r="D6">
        <f>CONTROL_PANEL!B22</f>
        <v>0.04</v>
      </c>
      <c r="E6">
        <f>C6-D6</f>
        <v>7.9999999999999988E-2</v>
      </c>
    </row>
    <row r="7" spans="1:14" x14ac:dyDescent="0.25">
      <c r="A7" t="s">
        <v>133</v>
      </c>
      <c r="B7">
        <f>CONTROL_PANEL!B13</f>
        <v>0.435</v>
      </c>
      <c r="C7">
        <f>CONTROL_PANEL!E13</f>
        <v>0.46</v>
      </c>
      <c r="D7">
        <f>CONTROL_PANEL!B23</f>
        <v>0.4</v>
      </c>
      <c r="E7">
        <f t="shared" ref="E7:E11" si="0">C7-D7</f>
        <v>0.06</v>
      </c>
    </row>
    <row r="8" spans="1:14" x14ac:dyDescent="0.25">
      <c r="A8" t="s">
        <v>224</v>
      </c>
      <c r="B8">
        <f>CONTROL_PANEL!B16</f>
        <v>0.15</v>
      </c>
      <c r="C8">
        <f>CONTROL_PANEL!E16</f>
        <v>0.14000000000000001</v>
      </c>
      <c r="D8">
        <f>CONTROL_PANEL!B26</f>
        <v>0.17</v>
      </c>
      <c r="E8">
        <f t="shared" si="0"/>
        <v>-0.03</v>
      </c>
      <c r="H8" t="s">
        <v>255</v>
      </c>
    </row>
    <row r="9" spans="1:14" x14ac:dyDescent="0.25">
      <c r="A9" t="s">
        <v>225</v>
      </c>
      <c r="B9">
        <f>CONTROL_PANEL!B17</f>
        <v>0.03</v>
      </c>
      <c r="C9">
        <f>CONTROL_PANEL!E17</f>
        <v>2.5000000000000001E-2</v>
      </c>
      <c r="D9">
        <f>CONTROL_PANEL!B27</f>
        <v>0.04</v>
      </c>
      <c r="E9">
        <f t="shared" si="0"/>
        <v>-1.4999999999999999E-2</v>
      </c>
      <c r="H9" t="s">
        <v>253</v>
      </c>
    </row>
    <row r="10" spans="1:14" x14ac:dyDescent="0.25">
      <c r="A10" t="s">
        <v>109</v>
      </c>
      <c r="B10">
        <f>CONTROL_PANEL!E22</f>
        <v>0.11</v>
      </c>
      <c r="C10">
        <f>CONTROL_PANEL!E22-0.01</f>
        <v>0.1</v>
      </c>
      <c r="D10">
        <f>CONTROL_PANEL!E22+0.02</f>
        <v>0.13</v>
      </c>
      <c r="E10">
        <f t="shared" si="0"/>
        <v>-0.03</v>
      </c>
    </row>
    <row r="11" spans="1:14" x14ac:dyDescent="0.25">
      <c r="A11" t="s">
        <v>110</v>
      </c>
      <c r="B11">
        <f>CONTROL_PANEL!E23</f>
        <v>2.5000000000000001E-2</v>
      </c>
      <c r="C11">
        <f>CONTROL_PANEL!E23+0.01</f>
        <v>3.5000000000000003E-2</v>
      </c>
      <c r="D11">
        <f>CONTROL_PANEL!E23-0.01</f>
        <v>1.5000000000000001E-2</v>
      </c>
      <c r="E11">
        <f t="shared" si="0"/>
        <v>2.0000000000000004E-2</v>
      </c>
      <c r="I11" t="s">
        <v>260</v>
      </c>
      <c r="J11" t="s">
        <v>262</v>
      </c>
      <c r="K11" t="s">
        <v>248</v>
      </c>
      <c r="L11" t="s">
        <v>265</v>
      </c>
      <c r="M11" t="s">
        <v>275</v>
      </c>
    </row>
    <row r="12" spans="1:14" x14ac:dyDescent="0.25">
      <c r="H12" t="s">
        <v>165</v>
      </c>
      <c r="I12">
        <v>179</v>
      </c>
      <c r="J12">
        <v>210</v>
      </c>
      <c r="K12">
        <f>(I12/J12)-1</f>
        <v>-0.14761904761904765</v>
      </c>
      <c r="L12">
        <f>(I12-minscale)/(maxscale-minscale)</f>
        <v>0.85238095238095235</v>
      </c>
      <c r="M12">
        <f>1-L12</f>
        <v>0.14761904761904765</v>
      </c>
    </row>
    <row r="13" spans="1:14" x14ac:dyDescent="0.25">
      <c r="A13" t="s">
        <v>226</v>
      </c>
      <c r="H13" t="s">
        <v>203</v>
      </c>
      <c r="I13">
        <v>143</v>
      </c>
      <c r="J13">
        <v>210</v>
      </c>
      <c r="K13">
        <f>(I13/J13)-1</f>
        <v>-0.31904761904761902</v>
      </c>
      <c r="L13">
        <f>(I13-minscale)/(maxscale-minscale)</f>
        <v>0.68095238095238098</v>
      </c>
      <c r="M13">
        <f>1-L13</f>
        <v>0.31904761904761902</v>
      </c>
      <c r="N13">
        <v>210</v>
      </c>
    </row>
    <row r="14" spans="1:14" x14ac:dyDescent="0.25">
      <c r="A14" t="s">
        <v>4</v>
      </c>
      <c r="B14">
        <f>FINANCIAL_STATEMENTS!L5*(1+B6)</f>
        <v>451.53468499999997</v>
      </c>
      <c r="C14">
        <f>FINANCIAL_STATEMENTS!L5*(1+C6)</f>
        <v>466.10032000000007</v>
      </c>
      <c r="D14">
        <f>FINANCIAL_STATEMENTS!L5*(1+D6)</f>
        <v>432.80744000000004</v>
      </c>
      <c r="E14">
        <f>C14-D14</f>
        <v>33.292880000000025</v>
      </c>
      <c r="H14" t="s">
        <v>202</v>
      </c>
      <c r="I14">
        <v>101</v>
      </c>
      <c r="J14">
        <v>210</v>
      </c>
      <c r="K14">
        <f>(I14/J14)-1</f>
        <v>-0.51904761904761898</v>
      </c>
      <c r="L14">
        <f>(I14-minscale)/(maxscale-minscale)</f>
        <v>0.48095238095238096</v>
      </c>
      <c r="M14">
        <f>1-L14</f>
        <v>0.51904761904761898</v>
      </c>
      <c r="N14">
        <v>90</v>
      </c>
    </row>
    <row r="15" spans="1:14" x14ac:dyDescent="0.25">
      <c r="A15" t="s">
        <v>134</v>
      </c>
      <c r="B15">
        <f>B14*B7</f>
        <v>196.41758797499998</v>
      </c>
      <c r="C15">
        <f>C14*C7</f>
        <v>214.40614720000005</v>
      </c>
      <c r="D15">
        <f>D14*D7</f>
        <v>173.12297600000002</v>
      </c>
      <c r="E15">
        <f t="shared" ref="E15:E16" si="1">C15-D15</f>
        <v>41.283171200000027</v>
      </c>
    </row>
    <row r="16" spans="1:14" x14ac:dyDescent="0.25">
      <c r="A16" t="s">
        <v>86</v>
      </c>
      <c r="B16">
        <f>B15-(B14*B9)-(B15*B8)</f>
        <v>153.40890922874999</v>
      </c>
      <c r="C16">
        <f>C15-(C14*C9)-(C15*C8)</f>
        <v>172.73677859200004</v>
      </c>
      <c r="D16">
        <f>D15-(D14*D9)-(D15*D8)</f>
        <v>126.37977248000003</v>
      </c>
      <c r="E16">
        <f t="shared" si="1"/>
        <v>46.357006112000008</v>
      </c>
    </row>
    <row r="18" spans="1:12" x14ac:dyDescent="0.25">
      <c r="A18" t="s">
        <v>227</v>
      </c>
    </row>
    <row r="19" spans="1:12" x14ac:dyDescent="0.25">
      <c r="A19" t="s">
        <v>149</v>
      </c>
      <c r="B19">
        <f>((B16*(1-(1+B10)^-5)/B10)+(B16*(1+B11)/(B10-B11)*(1+B10)^-5)-VALUATION_ENGINE!B18+VALUATION_ENGINE!B54)/ShareOutstanding</f>
        <v>109.26741129412592</v>
      </c>
      <c r="C19">
        <f>((C16*(1-(1+C10)^-5)/C10)+(C16*(1+C11)/(C10-C11)*(1+C10)^-5)-VALUATION_ENGINE!B18+VALUATION_ENGINE!B15)/ShareOutstanding</f>
        <v>166.06691231175213</v>
      </c>
      <c r="D19">
        <f>((D16*(1-(1+D10)^-5)/D10)+(D16*(1+D11)/(D10-D11)*(1+D10)^-5)-VALUATION_ENGINE!B18+VALUATION_ENGINE!B15)/ShareOutstanding</f>
        <v>78.668070016466984</v>
      </c>
      <c r="E19">
        <f>C19-D19</f>
        <v>87.398842295285149</v>
      </c>
    </row>
    <row r="20" spans="1:12" x14ac:dyDescent="0.25">
      <c r="A20" t="s">
        <v>145</v>
      </c>
      <c r="B20">
        <f>((B16*(1-(1+B10)^-5)/B10)+(B16*(1+B11)/(B10-B11)*(1+B10)^-5))</f>
        <v>1664.8275176377711</v>
      </c>
      <c r="C20">
        <f>((C16*(1-(1+C10)^-5)/C10)+(C16*(1+C11)/(C10-C11)*(1+C10)^-5))</f>
        <v>2362.6530229225168</v>
      </c>
      <c r="D20">
        <f>((D16*(1-(1+D10)^-5)/D10)+(D16*(1+D11)/(D10-D11)*(1+D10)^-5))</f>
        <v>1049.922411647334</v>
      </c>
      <c r="E20">
        <f t="shared" ref="E20:E22" si="2">C20-D20</f>
        <v>1312.7306112751828</v>
      </c>
    </row>
    <row r="21" spans="1:12" x14ac:dyDescent="0.25">
      <c r="A21" t="s">
        <v>148</v>
      </c>
      <c r="B21">
        <f>B20-VALUATION_ENGINE!B18+VALUATION_ENGINE!B15</f>
        <v>1796.4995176377711</v>
      </c>
      <c r="C21">
        <f>C20-VALUATION_ENGINE!B18+VALUATION_ENGINE!B15</f>
        <v>2494.3250229225168</v>
      </c>
      <c r="D21">
        <f>D20-VALUATION_ENGINE!B18+VALUATION_ENGINE!B15</f>
        <v>1181.594411647334</v>
      </c>
      <c r="E21">
        <f t="shared" si="2"/>
        <v>1312.7306112751828</v>
      </c>
    </row>
    <row r="22" spans="1:12" x14ac:dyDescent="0.25">
      <c r="A22" t="s">
        <v>228</v>
      </c>
      <c r="B22">
        <f>(B19-CurrentStockPrice)/CurrentStockPrice</f>
        <v>-0.47967899383749563</v>
      </c>
      <c r="C22">
        <f>(C19-CurrentStockPrice)/CurrentStockPrice</f>
        <v>-0.20920517946784697</v>
      </c>
      <c r="D22">
        <f>(D19-CurrentStockPrice)/CurrentStockPrice</f>
        <v>-0.62539014277872873</v>
      </c>
      <c r="E22">
        <f t="shared" si="2"/>
        <v>0.41618496331088173</v>
      </c>
    </row>
    <row r="26" spans="1:12" x14ac:dyDescent="0.25">
      <c r="A26" t="s">
        <v>229</v>
      </c>
    </row>
    <row r="27" spans="1:12" x14ac:dyDescent="0.25">
      <c r="A27" t="s">
        <v>230</v>
      </c>
    </row>
    <row r="29" spans="1:12" x14ac:dyDescent="0.25">
      <c r="B29" s="24" t="s">
        <v>231</v>
      </c>
      <c r="C29" s="24" t="s">
        <v>232</v>
      </c>
      <c r="D29" s="24" t="s">
        <v>233</v>
      </c>
    </row>
    <row r="30" spans="1:12" x14ac:dyDescent="0.25">
      <c r="A30" s="24" t="s">
        <v>132</v>
      </c>
      <c r="B30" s="48">
        <f>B19</f>
        <v>109.26741129412592</v>
      </c>
      <c r="C30">
        <f>C19</f>
        <v>166.06691231175213</v>
      </c>
      <c r="D30">
        <f>D19</f>
        <v>78.668070016466984</v>
      </c>
    </row>
    <row r="31" spans="1:12" x14ac:dyDescent="0.25">
      <c r="A31" s="21">
        <v>0.02</v>
      </c>
      <c r="B31">
        <f t="dataTable" ref="B31:B37" dt2D="0" dtr="0" r1="B6" ca="1"/>
        <v>102.62718421462792</v>
      </c>
      <c r="C31">
        <v>152.02222770716224</v>
      </c>
      <c r="D31">
        <v>77.323807991926174</v>
      </c>
      <c r="L31" s="21"/>
    </row>
    <row r="32" spans="1:12" x14ac:dyDescent="0.25">
      <c r="A32" s="21">
        <v>0.04</v>
      </c>
      <c r="B32">
        <v>104.67033100831961</v>
      </c>
      <c r="C32">
        <v>154.83116462808024</v>
      </c>
      <c r="D32">
        <v>78.668070016466984</v>
      </c>
    </row>
    <row r="33" spans="1:14" x14ac:dyDescent="0.25">
      <c r="A33" s="21">
        <v>0.06</v>
      </c>
      <c r="B33">
        <v>106.71347780201131</v>
      </c>
      <c r="C33">
        <v>157.64010154899822</v>
      </c>
      <c r="D33">
        <v>80.012332041007738</v>
      </c>
    </row>
    <row r="34" spans="1:14" x14ac:dyDescent="0.25">
      <c r="A34" s="21">
        <v>7.0000000000000007E-2</v>
      </c>
      <c r="B34">
        <v>107.73505119885715</v>
      </c>
      <c r="C34">
        <v>159.04457000945717</v>
      </c>
      <c r="D34">
        <v>80.684463053278137</v>
      </c>
    </row>
    <row r="35" spans="1:14" x14ac:dyDescent="0.25">
      <c r="A35" s="21">
        <v>8.5000000000000006E-2</v>
      </c>
      <c r="B35">
        <v>109.26741129412592</v>
      </c>
      <c r="C35">
        <v>161.1512727001456</v>
      </c>
      <c r="D35">
        <v>81.692659571683706</v>
      </c>
    </row>
    <row r="36" spans="1:14" x14ac:dyDescent="0.25">
      <c r="A36" s="21">
        <v>0.1</v>
      </c>
      <c r="B36">
        <v>110.79977138939468</v>
      </c>
      <c r="C36">
        <v>163.25797539083413</v>
      </c>
      <c r="D36">
        <v>82.700856090089331</v>
      </c>
    </row>
    <row r="37" spans="1:14" x14ac:dyDescent="0.25">
      <c r="A37" s="21">
        <v>0.12</v>
      </c>
      <c r="B37">
        <v>112.84291818308641</v>
      </c>
      <c r="C37">
        <v>166.06691231175213</v>
      </c>
      <c r="D37">
        <v>84.045118114630114</v>
      </c>
    </row>
    <row r="40" spans="1:14" x14ac:dyDescent="0.25">
      <c r="H40" t="s">
        <v>249</v>
      </c>
    </row>
    <row r="41" spans="1:14" ht="20.25" customHeight="1" x14ac:dyDescent="0.25"/>
    <row r="42" spans="1:14" ht="20.25" customHeight="1" x14ac:dyDescent="0.25">
      <c r="A42" t="s">
        <v>234</v>
      </c>
      <c r="H42" s="53" t="s">
        <v>240</v>
      </c>
      <c r="I42" s="53" t="s">
        <v>244</v>
      </c>
      <c r="J42" s="53" t="s">
        <v>241</v>
      </c>
      <c r="K42" s="53" t="s">
        <v>245</v>
      </c>
      <c r="L42" s="53" t="s">
        <v>242</v>
      </c>
      <c r="M42" s="53" t="s">
        <v>243</v>
      </c>
      <c r="N42" s="53" t="s">
        <v>248</v>
      </c>
    </row>
    <row r="43" spans="1:14" x14ac:dyDescent="0.25">
      <c r="A43" t="s">
        <v>235</v>
      </c>
      <c r="H43" s="51" t="s">
        <v>104</v>
      </c>
      <c r="I43" s="50">
        <v>103.5908</v>
      </c>
      <c r="J43" s="50">
        <v>109.26739999999999</v>
      </c>
      <c r="K43" s="50">
        <v>113.5249</v>
      </c>
      <c r="L43" s="52">
        <f t="shared" ref="L43:L48" si="3">(I43/J43)-1</f>
        <v>-5.1951451210516475E-2</v>
      </c>
      <c r="M43" s="52">
        <f t="shared" ref="M43:M48" si="4">(K43/J43)-1</f>
        <v>3.8964046000911523E-2</v>
      </c>
      <c r="N43" s="21">
        <f t="shared" ref="N43:N48" si="5">MAX(ABS(L43),ABS(M43))</f>
        <v>5.1951451210516475E-2</v>
      </c>
    </row>
    <row r="44" spans="1:14" x14ac:dyDescent="0.25">
      <c r="H44" s="51" t="s">
        <v>47</v>
      </c>
      <c r="I44" s="50">
        <v>102.7426</v>
      </c>
      <c r="J44" s="50">
        <v>109.26739999999999</v>
      </c>
      <c r="K44" s="50">
        <v>112.52979999999999</v>
      </c>
      <c r="L44" s="52">
        <f t="shared" si="3"/>
        <v>-5.9714059271109177E-2</v>
      </c>
      <c r="M44" s="52">
        <f t="shared" si="4"/>
        <v>2.9857029635554699E-2</v>
      </c>
      <c r="N44" s="21">
        <f t="shared" si="5"/>
        <v>5.9714059271109177E-2</v>
      </c>
    </row>
    <row r="45" spans="1:14" x14ac:dyDescent="0.25">
      <c r="A45">
        <f>B19</f>
        <v>109.26741129412592</v>
      </c>
      <c r="B45" s="47">
        <v>0.09</v>
      </c>
      <c r="C45" s="21">
        <v>0.1</v>
      </c>
      <c r="D45" s="21">
        <v>0.11</v>
      </c>
      <c r="E45" s="21">
        <v>0.12</v>
      </c>
      <c r="F45" s="21">
        <v>0.13</v>
      </c>
      <c r="H45" s="51" t="s">
        <v>246</v>
      </c>
      <c r="I45" s="50">
        <v>102.6272</v>
      </c>
      <c r="J45" s="50">
        <v>109.26739999999999</v>
      </c>
      <c r="K45" s="50">
        <v>112.8429</v>
      </c>
      <c r="L45" s="52">
        <f t="shared" si="3"/>
        <v>-6.0770183970699332E-2</v>
      </c>
      <c r="M45" s="52">
        <f t="shared" si="4"/>
        <v>3.2722477152380414E-2</v>
      </c>
      <c r="N45" s="21">
        <f t="shared" si="5"/>
        <v>6.0770183970699332E-2</v>
      </c>
    </row>
    <row r="46" spans="1:14" x14ac:dyDescent="0.25">
      <c r="A46" s="49">
        <v>0.04</v>
      </c>
      <c r="B46">
        <f t="dataTable" ref="B46:F50" dt2D="1" dtr="1" r1="B10" r2="B6"/>
        <v>136.84378773873343</v>
      </c>
      <c r="C46">
        <v>118.61613484874435</v>
      </c>
      <c r="D46">
        <v>104.67033100831961</v>
      </c>
      <c r="E46">
        <v>93.65450000201659</v>
      </c>
      <c r="F46">
        <v>84.731751699494879</v>
      </c>
      <c r="H46" s="51" t="s">
        <v>247</v>
      </c>
      <c r="I46" s="50">
        <v>100.9355</v>
      </c>
      <c r="J46" s="50">
        <v>109.26739999999999</v>
      </c>
      <c r="K46" s="50">
        <v>119.8212</v>
      </c>
      <c r="L46" s="52">
        <f t="shared" si="3"/>
        <v>-7.6252386347620549E-2</v>
      </c>
      <c r="M46" s="52">
        <f t="shared" si="4"/>
        <v>9.6586905151948343E-2</v>
      </c>
      <c r="N46" s="21">
        <f t="shared" si="5"/>
        <v>9.6586905151948343E-2</v>
      </c>
    </row>
    <row r="47" spans="1:14" x14ac:dyDescent="0.25">
      <c r="A47" s="49">
        <v>0.06</v>
      </c>
      <c r="B47">
        <v>139.50565485416385</v>
      </c>
      <c r="C47">
        <v>120.92747017782882</v>
      </c>
      <c r="D47">
        <v>106.71347780201131</v>
      </c>
      <c r="E47">
        <v>95.485803891740943</v>
      </c>
      <c r="F47">
        <v>86.391464275709183</v>
      </c>
      <c r="H47" s="51" t="s">
        <v>134</v>
      </c>
      <c r="I47" s="50">
        <v>94.015600000000006</v>
      </c>
      <c r="J47" s="50">
        <v>109.26739999999999</v>
      </c>
      <c r="K47" s="50">
        <v>121.7462</v>
      </c>
      <c r="L47" s="52">
        <f t="shared" si="3"/>
        <v>-0.13958234569505623</v>
      </c>
      <c r="M47" s="52">
        <f t="shared" si="4"/>
        <v>0.11420423657925416</v>
      </c>
      <c r="N47" s="21">
        <f t="shared" si="5"/>
        <v>0.13958234569505623</v>
      </c>
    </row>
    <row r="48" spans="1:14" x14ac:dyDescent="0.25">
      <c r="A48" s="49">
        <v>8.5000000000000006E-2</v>
      </c>
      <c r="B48">
        <v>142.83298874845184</v>
      </c>
      <c r="C48">
        <v>123.81663933918438</v>
      </c>
      <c r="D48">
        <v>109.26741129412592</v>
      </c>
      <c r="E48">
        <v>97.774933753896306</v>
      </c>
      <c r="F48">
        <v>88.466104995977034</v>
      </c>
      <c r="H48" s="51" t="s">
        <v>109</v>
      </c>
      <c r="I48" s="50">
        <v>88.466099999999997</v>
      </c>
      <c r="J48" s="50">
        <v>109.26739999999999</v>
      </c>
      <c r="K48" s="50">
        <v>142.833</v>
      </c>
      <c r="L48" s="52">
        <f t="shared" si="3"/>
        <v>-0.19037059543834667</v>
      </c>
      <c r="M48" s="52">
        <f t="shared" si="4"/>
        <v>0.3071876881851312</v>
      </c>
      <c r="N48" s="21">
        <f t="shared" si="5"/>
        <v>0.3071876881851312</v>
      </c>
    </row>
    <row r="49" spans="1:6" x14ac:dyDescent="0.25">
      <c r="A49" s="49">
        <v>0.1</v>
      </c>
      <c r="B49">
        <v>144.82938908502464</v>
      </c>
      <c r="C49">
        <v>125.55014083599777</v>
      </c>
      <c r="D49">
        <v>110.79977138939468</v>
      </c>
      <c r="E49">
        <v>99.14841167118955</v>
      </c>
      <c r="F49">
        <v>89.710889428137747</v>
      </c>
    </row>
    <row r="50" spans="1:6" x14ac:dyDescent="0.25">
      <c r="A50" s="49">
        <v>0.12</v>
      </c>
      <c r="B50">
        <v>147.49125620045515</v>
      </c>
      <c r="C50">
        <v>127.86147616508227</v>
      </c>
      <c r="D50">
        <v>112.84291818308641</v>
      </c>
      <c r="E50">
        <v>100.97971556091393</v>
      </c>
      <c r="F50">
        <v>91.370602004352079</v>
      </c>
    </row>
    <row r="52" spans="1:6" x14ac:dyDescent="0.25">
      <c r="A52" t="s">
        <v>236</v>
      </c>
    </row>
    <row r="53" spans="1:6" x14ac:dyDescent="0.25">
      <c r="A53" t="s">
        <v>235</v>
      </c>
    </row>
    <row r="55" spans="1:6" x14ac:dyDescent="0.25">
      <c r="A55">
        <f>B19</f>
        <v>109.26741129412592</v>
      </c>
      <c r="B55" s="47">
        <v>0.38</v>
      </c>
      <c r="C55" s="47">
        <v>0.4</v>
      </c>
      <c r="D55" s="21">
        <v>0.435</v>
      </c>
      <c r="E55" s="47">
        <v>0.46</v>
      </c>
      <c r="F55" s="47">
        <v>0.48</v>
      </c>
    </row>
    <row r="56" spans="1:6" x14ac:dyDescent="0.25">
      <c r="A56" s="49">
        <v>0.04</v>
      </c>
      <c r="B56">
        <f t="dataTable" ref="B56:F60" dt2D="1" dtr="1" r1="B7" r2="B6" ca="1"/>
        <v>90.05108198561318</v>
      </c>
      <c r="C56">
        <v>95.367172539324613</v>
      </c>
      <c r="D56">
        <v>104.67033100831961</v>
      </c>
      <c r="E56">
        <v>111.3154442004589</v>
      </c>
      <c r="F56">
        <v>116.6315347541703</v>
      </c>
    </row>
    <row r="57" spans="1:6" x14ac:dyDescent="0.25">
      <c r="A57" s="49">
        <v>0.06</v>
      </c>
      <c r="B57">
        <v>91.813089375022059</v>
      </c>
      <c r="C57">
        <v>97.231412439381799</v>
      </c>
      <c r="D57">
        <v>106.71347780201131</v>
      </c>
      <c r="E57">
        <v>113.48638163246098</v>
      </c>
      <c r="F57">
        <v>118.90470469682069</v>
      </c>
    </row>
    <row r="58" spans="1:6" x14ac:dyDescent="0.25">
      <c r="A58" s="49">
        <v>8.5000000000000006E-2</v>
      </c>
      <c r="B58">
        <v>94.015598611783147</v>
      </c>
      <c r="C58">
        <v>99.56171231445326</v>
      </c>
      <c r="D58">
        <v>109.26741129412592</v>
      </c>
      <c r="E58">
        <v>116.20005342246351</v>
      </c>
      <c r="F58">
        <v>121.74616712513362</v>
      </c>
    </row>
    <row r="59" spans="1:6" x14ac:dyDescent="0.25">
      <c r="A59" s="49">
        <v>0.1</v>
      </c>
      <c r="B59">
        <v>95.337104153839803</v>
      </c>
      <c r="C59">
        <v>100.95989223949614</v>
      </c>
      <c r="D59">
        <v>110.79977138939468</v>
      </c>
      <c r="E59">
        <v>117.82825649646507</v>
      </c>
      <c r="F59">
        <v>123.45104458212138</v>
      </c>
    </row>
    <row r="60" spans="1:6" x14ac:dyDescent="0.25">
      <c r="A60" s="49">
        <v>0.12</v>
      </c>
      <c r="B60">
        <v>97.099111543248711</v>
      </c>
      <c r="C60">
        <v>102.82413213955331</v>
      </c>
      <c r="D60">
        <v>112.84291818308641</v>
      </c>
      <c r="E60">
        <v>119.99919392846718</v>
      </c>
      <c r="F60">
        <v>125.72421452477175</v>
      </c>
    </row>
    <row r="62" spans="1:6" x14ac:dyDescent="0.25">
      <c r="A62" t="s">
        <v>237</v>
      </c>
    </row>
    <row r="63" spans="1:6" x14ac:dyDescent="0.25">
      <c r="A63" t="s">
        <v>235</v>
      </c>
    </row>
    <row r="65" spans="1:6" x14ac:dyDescent="0.25">
      <c r="A65">
        <f>B19</f>
        <v>109.26741129412592</v>
      </c>
      <c r="B65" s="47">
        <v>0.12</v>
      </c>
      <c r="C65" s="47">
        <v>0.14000000000000001</v>
      </c>
      <c r="D65" s="47">
        <v>0.15</v>
      </c>
      <c r="E65" s="47">
        <v>0.17</v>
      </c>
      <c r="F65" s="47">
        <v>0.19</v>
      </c>
    </row>
    <row r="66" spans="1:6" x14ac:dyDescent="0.25">
      <c r="A66" s="49">
        <v>0.04</v>
      </c>
      <c r="B66">
        <f t="dataTable" ref="B66:F70" dt2D="1" dtr="1" r1="B8" r2="B6" ca="1"/>
        <v>108.75121228631573</v>
      </c>
      <c r="C66">
        <v>106.03062476765167</v>
      </c>
      <c r="D66">
        <v>104.67033100831961</v>
      </c>
      <c r="E66">
        <v>101.94974348965552</v>
      </c>
      <c r="F66">
        <v>99.229155970991457</v>
      </c>
    </row>
    <row r="67" spans="1:6" x14ac:dyDescent="0.25">
      <c r="A67" s="49">
        <v>0.06</v>
      </c>
      <c r="B67">
        <v>110.87283756612273</v>
      </c>
      <c r="C67">
        <v>108.09993105671512</v>
      </c>
      <c r="D67">
        <v>106.71347780201131</v>
      </c>
      <c r="E67">
        <v>103.94057129260368</v>
      </c>
      <c r="F67">
        <v>101.16766478319606</v>
      </c>
    </row>
    <row r="68" spans="1:6" x14ac:dyDescent="0.25">
      <c r="A68" s="49">
        <v>8.5000000000000006E-2</v>
      </c>
      <c r="B68">
        <v>113.5248691658815</v>
      </c>
      <c r="C68">
        <v>110.68656391804441</v>
      </c>
      <c r="D68">
        <v>109.26741129412592</v>
      </c>
      <c r="E68">
        <v>106.42910604628888</v>
      </c>
      <c r="F68">
        <v>103.59080079845181</v>
      </c>
    </row>
    <row r="69" spans="1:6" x14ac:dyDescent="0.25">
      <c r="A69" s="49">
        <v>0.1</v>
      </c>
      <c r="B69">
        <v>115.11608812573674</v>
      </c>
      <c r="C69">
        <v>112.238543634842</v>
      </c>
      <c r="D69">
        <v>110.79977138939468</v>
      </c>
      <c r="E69">
        <v>107.92222689849999</v>
      </c>
      <c r="F69">
        <v>105.04468240760528</v>
      </c>
    </row>
    <row r="70" spans="1:6" x14ac:dyDescent="0.25">
      <c r="A70" s="49">
        <v>0.12</v>
      </c>
      <c r="B70">
        <v>117.23771340554377</v>
      </c>
      <c r="C70">
        <v>114.30784992390554</v>
      </c>
      <c r="D70">
        <v>112.84291818308641</v>
      </c>
      <c r="E70">
        <v>109.91305470144817</v>
      </c>
      <c r="F70">
        <v>106.98319121980992</v>
      </c>
    </row>
    <row r="72" spans="1:6" x14ac:dyDescent="0.25">
      <c r="A72" t="s">
        <v>238</v>
      </c>
    </row>
    <row r="73" spans="1:6" x14ac:dyDescent="0.25">
      <c r="A73" t="s">
        <v>235</v>
      </c>
    </row>
    <row r="75" spans="1:6" x14ac:dyDescent="0.25">
      <c r="A75">
        <f>B19</f>
        <v>109.26741129412592</v>
      </c>
      <c r="B75" s="47">
        <v>0.02</v>
      </c>
      <c r="C75" s="21">
        <v>2.5000000000000001E-2</v>
      </c>
      <c r="D75" s="47">
        <v>0.03</v>
      </c>
      <c r="E75" s="47">
        <v>0.04</v>
      </c>
      <c r="F75" s="47">
        <v>0.05</v>
      </c>
    </row>
    <row r="76" spans="1:6" x14ac:dyDescent="0.25">
      <c r="A76" s="49">
        <v>0.04</v>
      </c>
      <c r="B76">
        <f t="dataTable" ref="B76:F80" dt2D="1" dtr="1" r1="B9" r2="B6" ca="1"/>
        <v>107.79744309873809</v>
      </c>
      <c r="C76">
        <v>106.23388705352885</v>
      </c>
      <c r="D76">
        <v>104.67033100831961</v>
      </c>
      <c r="E76">
        <v>101.54321891790113</v>
      </c>
      <c r="F76">
        <v>98.416106827482622</v>
      </c>
    </row>
    <row r="77" spans="1:6" x14ac:dyDescent="0.25">
      <c r="A77" s="49">
        <v>0.06</v>
      </c>
      <c r="B77">
        <v>109.90072666339937</v>
      </c>
      <c r="C77">
        <v>108.30710223270533</v>
      </c>
      <c r="D77">
        <v>106.71347780201131</v>
      </c>
      <c r="E77">
        <v>103.5262289406232</v>
      </c>
      <c r="F77">
        <v>100.33898007923514</v>
      </c>
    </row>
    <row r="78" spans="1:6" x14ac:dyDescent="0.25">
      <c r="A78" s="49">
        <v>8.5000000000000006E-2</v>
      </c>
      <c r="B78">
        <v>112.52983111922595</v>
      </c>
      <c r="C78">
        <v>110.89862120667593</v>
      </c>
      <c r="D78">
        <v>109.26741129412592</v>
      </c>
      <c r="E78">
        <v>106.00499146902582</v>
      </c>
      <c r="F78">
        <v>102.7425716439258</v>
      </c>
    </row>
    <row r="79" spans="1:6" x14ac:dyDescent="0.25">
      <c r="A79" s="49">
        <v>0.1</v>
      </c>
      <c r="B79">
        <v>114.10729379272192</v>
      </c>
      <c r="C79">
        <v>112.45353259105832</v>
      </c>
      <c r="D79">
        <v>110.79977138939468</v>
      </c>
      <c r="E79">
        <v>107.49224898606745</v>
      </c>
      <c r="F79">
        <v>104.18472658274018</v>
      </c>
    </row>
    <row r="80" spans="1:6" x14ac:dyDescent="0.25">
      <c r="A80" s="49">
        <v>0.12</v>
      </c>
      <c r="B80">
        <v>116.21057735738326</v>
      </c>
      <c r="C80">
        <v>114.52674777023481</v>
      </c>
      <c r="D80">
        <v>112.84291818308641</v>
      </c>
      <c r="E80">
        <v>109.47525900878958</v>
      </c>
      <c r="F80">
        <v>106.10759983449276</v>
      </c>
    </row>
    <row r="82" spans="1:6" x14ac:dyDescent="0.25">
      <c r="A82" t="s">
        <v>239</v>
      </c>
    </row>
    <row r="83" spans="1:6" x14ac:dyDescent="0.25">
      <c r="A83" t="s">
        <v>235</v>
      </c>
    </row>
    <row r="85" spans="1:6" x14ac:dyDescent="0.25">
      <c r="A85">
        <f>B19</f>
        <v>109.26741129412592</v>
      </c>
      <c r="B85" s="21">
        <v>1.4999999999999999E-2</v>
      </c>
      <c r="C85" s="47">
        <v>0.02</v>
      </c>
      <c r="D85" s="21">
        <v>2.5000000000000001E-2</v>
      </c>
      <c r="E85" s="47">
        <v>0.03</v>
      </c>
      <c r="F85" s="21">
        <v>3.5000000000000003E-2</v>
      </c>
    </row>
    <row r="86" spans="1:6" x14ac:dyDescent="0.25">
      <c r="A86" s="49">
        <v>0.04</v>
      </c>
      <c r="B86">
        <f t="dataTable" ref="B86:F90" dt2D="1" dtr="1" r1="B11" r2="B6" ca="1"/>
        <v>96.683954064750864</v>
      </c>
      <c r="C86">
        <v>100.45529873254722</v>
      </c>
      <c r="D86">
        <v>104.67033100831961</v>
      </c>
      <c r="E86">
        <v>109.41224231856356</v>
      </c>
      <c r="F86">
        <v>114.78640847017336</v>
      </c>
    </row>
    <row r="87" spans="1:6" x14ac:dyDescent="0.25">
      <c r="A87" s="49">
        <v>0.06</v>
      </c>
      <c r="B87">
        <v>98.573516686450844</v>
      </c>
      <c r="C87">
        <v>102.41738721324327</v>
      </c>
      <c r="D87">
        <v>106.71347780201131</v>
      </c>
      <c r="E87">
        <v>111.54657971437534</v>
      </c>
      <c r="F87">
        <v>117.02409521505456</v>
      </c>
    </row>
    <row r="88" spans="1:6" x14ac:dyDescent="0.25">
      <c r="A88" s="49">
        <v>8.5000000000000006E-2</v>
      </c>
      <c r="B88">
        <v>100.9354699635758</v>
      </c>
      <c r="C88">
        <v>104.86999781411338</v>
      </c>
      <c r="D88">
        <v>109.26741129412592</v>
      </c>
      <c r="E88">
        <v>114.21450145914004</v>
      </c>
      <c r="F88">
        <v>119.82120364615601</v>
      </c>
    </row>
    <row r="89" spans="1:6" x14ac:dyDescent="0.25">
      <c r="A89" s="49">
        <v>0.1</v>
      </c>
      <c r="B89">
        <v>102.35264192985079</v>
      </c>
      <c r="C89">
        <v>106.34156417463541</v>
      </c>
      <c r="D89">
        <v>110.79977138939468</v>
      </c>
      <c r="E89">
        <v>115.81525450599887</v>
      </c>
      <c r="F89">
        <v>121.49946870481693</v>
      </c>
    </row>
    <row r="90" spans="1:6" x14ac:dyDescent="0.25">
      <c r="A90" s="49">
        <v>0.12</v>
      </c>
      <c r="B90">
        <v>104.24220455155081</v>
      </c>
      <c r="C90">
        <v>108.30365265533152</v>
      </c>
      <c r="D90">
        <v>112.84291818308641</v>
      </c>
      <c r="E90">
        <v>117.94959190181068</v>
      </c>
      <c r="F90">
        <v>123.73715544969814</v>
      </c>
    </row>
  </sheetData>
  <sortState xmlns:xlrd2="http://schemas.microsoft.com/office/spreadsheetml/2017/richdata2" ref="H12:N14">
    <sortCondition ref="M12:M14"/>
  </sortState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D42F7-E0C8-4B1F-AED4-FE0FBDE23610}">
  <sheetPr codeName="Sheet12">
    <tabColor rgb="FFFF0000"/>
  </sheetPr>
  <dimension ref="A1:B31"/>
  <sheetViews>
    <sheetView tabSelected="1" workbookViewId="0">
      <selection activeCell="N18" sqref="N18"/>
    </sheetView>
  </sheetViews>
  <sheetFormatPr defaultRowHeight="15" x14ac:dyDescent="0.25"/>
  <cols>
    <col min="1" max="1" width="27.28515625" customWidth="1"/>
    <col min="2" max="2" width="18" customWidth="1"/>
  </cols>
  <sheetData>
    <row r="1" spans="1:2" x14ac:dyDescent="0.25">
      <c r="A1" s="26" t="s">
        <v>281</v>
      </c>
      <c r="B1" s="60"/>
    </row>
    <row r="2" spans="1:2" x14ac:dyDescent="0.25">
      <c r="B2" s="60"/>
    </row>
    <row r="4" spans="1:2" x14ac:dyDescent="0.25">
      <c r="A4" t="s">
        <v>286</v>
      </c>
    </row>
    <row r="5" spans="1:2" x14ac:dyDescent="0.25">
      <c r="A5" t="s">
        <v>288</v>
      </c>
      <c r="B5" t="str">
        <f>CompanyName&amp;" — NEXUS Investment Report"</f>
        <v>Apple Inc. — NEXUS Investment Report</v>
      </c>
    </row>
    <row r="6" spans="1:2" x14ac:dyDescent="0.25">
      <c r="A6" t="s">
        <v>290</v>
      </c>
      <c r="B6" s="54">
        <f ca="1">TODAY()</f>
        <v>46179</v>
      </c>
    </row>
    <row r="7" spans="1:2" x14ac:dyDescent="0.25">
      <c r="A7" t="s">
        <v>295</v>
      </c>
      <c r="B7" t="s">
        <v>298</v>
      </c>
    </row>
    <row r="8" spans="1:2" x14ac:dyDescent="0.25">
      <c r="A8" t="s">
        <v>100</v>
      </c>
      <c r="B8" t="str">
        <f>ActiveScenario</f>
        <v>Base</v>
      </c>
    </row>
    <row r="9" spans="1:2" x14ac:dyDescent="0.25">
      <c r="A9" t="s">
        <v>302</v>
      </c>
      <c r="B9" t="s">
        <v>301</v>
      </c>
    </row>
    <row r="12" spans="1:2" x14ac:dyDescent="0.25">
      <c r="A12" t="s">
        <v>304</v>
      </c>
    </row>
    <row r="13" spans="1:2" x14ac:dyDescent="0.25">
      <c r="A13" t="s">
        <v>306</v>
      </c>
      <c r="B13">
        <f>FINANCIAL_STATEMENTS!L5</f>
        <v>416.161</v>
      </c>
    </row>
    <row r="14" spans="1:2" x14ac:dyDescent="0.25">
      <c r="A14" t="s">
        <v>308</v>
      </c>
      <c r="B14">
        <f>FINANCIAL_STATEMENTS!L18</f>
        <v>112.01</v>
      </c>
    </row>
    <row r="15" spans="1:2" x14ac:dyDescent="0.25">
      <c r="A15" t="s">
        <v>86</v>
      </c>
      <c r="B15">
        <f>VALUATION_ENGINE!B34</f>
        <v>99.616000000000014</v>
      </c>
    </row>
    <row r="16" spans="1:2" x14ac:dyDescent="0.25">
      <c r="A16" t="s">
        <v>311</v>
      </c>
      <c r="B16">
        <f>FINANCIAL_STATEMENTS!L21</f>
        <v>7.49</v>
      </c>
    </row>
    <row r="17" spans="1:2" x14ac:dyDescent="0.25">
      <c r="A17" t="s">
        <v>313</v>
      </c>
      <c r="B17">
        <f>FINANCIAL_STATEMENTS!L8</f>
        <v>0.46905164107160446</v>
      </c>
    </row>
    <row r="18" spans="1:2" x14ac:dyDescent="0.25">
      <c r="A18" t="s">
        <v>315</v>
      </c>
      <c r="B18">
        <f>FINANCIAL_STATEMENTS!L19</f>
        <v>0.26915064121818238</v>
      </c>
    </row>
    <row r="20" spans="1:2" x14ac:dyDescent="0.25">
      <c r="A20" t="s">
        <v>143</v>
      </c>
    </row>
    <row r="21" spans="1:2" x14ac:dyDescent="0.25">
      <c r="A21" t="s">
        <v>149</v>
      </c>
      <c r="B21">
        <f>VALUATION_ENGINE!B57</f>
        <v>142.69350740743852</v>
      </c>
    </row>
    <row r="22" spans="1:2" x14ac:dyDescent="0.25">
      <c r="A22" t="s">
        <v>114</v>
      </c>
      <c r="B22">
        <f>CurrentStockPrice</f>
        <v>210</v>
      </c>
    </row>
    <row r="23" spans="1:2" x14ac:dyDescent="0.25">
      <c r="A23" t="s">
        <v>320</v>
      </c>
      <c r="B23">
        <f>updown</f>
        <v>-0.32050710758362611</v>
      </c>
    </row>
    <row r="24" spans="1:2" x14ac:dyDescent="0.25">
      <c r="A24" t="s">
        <v>145</v>
      </c>
      <c r="B24">
        <f>VALUATION_ENGINE!B52</f>
        <v>2166.8874812597264</v>
      </c>
    </row>
    <row r="25" spans="1:2" x14ac:dyDescent="0.25">
      <c r="A25" t="s">
        <v>109</v>
      </c>
      <c r="B25" s="21">
        <f>VALUATION_ENGINE!B24</f>
        <v>0.11057595417580296</v>
      </c>
    </row>
    <row r="27" spans="1:2" x14ac:dyDescent="0.25">
      <c r="A27" t="s">
        <v>185</v>
      </c>
    </row>
    <row r="28" spans="1:2" x14ac:dyDescent="0.25">
      <c r="A28" t="s">
        <v>113</v>
      </c>
      <c r="B28">
        <f>PORTFOLIO_TRACKER!J8</f>
        <v>0.43950596564920824</v>
      </c>
    </row>
    <row r="29" spans="1:2" x14ac:dyDescent="0.25">
      <c r="A29" t="s">
        <v>190</v>
      </c>
      <c r="B29">
        <f>PORTFOLIO_TRACKER!J10</f>
        <v>0.84062491620938884</v>
      </c>
    </row>
    <row r="30" spans="1:2" x14ac:dyDescent="0.25">
      <c r="A30" t="s">
        <v>327</v>
      </c>
      <c r="B30">
        <f>PORTFOLIO_TRACKER!J9</f>
        <v>0.22094304203767171</v>
      </c>
    </row>
    <row r="31" spans="1:2" x14ac:dyDescent="0.25">
      <c r="A31" t="s">
        <v>192</v>
      </c>
      <c r="B31">
        <f>PORTFOLIO_TRACKER!J12</f>
        <v>8.0819473367573131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0729F-3607-410C-8D0A-3DCD4BECE60C}">
  <sheetPr codeName="Sheet13">
    <tabColor theme="9" tint="0.39997558519241921"/>
    <pageSetUpPr fitToPage="1"/>
  </sheetPr>
  <dimension ref="A1:K136"/>
  <sheetViews>
    <sheetView workbookViewId="0">
      <selection activeCell="AG31" sqref="AG31"/>
    </sheetView>
  </sheetViews>
  <sheetFormatPr defaultRowHeight="15" x14ac:dyDescent="0.25"/>
  <cols>
    <col min="1" max="1" width="18.42578125" customWidth="1"/>
    <col min="2" max="2" width="10.42578125" bestFit="1" customWidth="1"/>
    <col min="3" max="3" width="14.140625" bestFit="1" customWidth="1"/>
    <col min="4" max="4" width="11" bestFit="1" customWidth="1"/>
    <col min="5" max="5" width="14.7109375" bestFit="1" customWidth="1"/>
    <col min="6" max="6" width="10.5703125" bestFit="1" customWidth="1"/>
    <col min="7" max="7" width="14.28515625" bestFit="1" customWidth="1"/>
    <col min="9" max="11" width="21.85546875" customWidth="1"/>
  </cols>
  <sheetData>
    <row r="1" spans="1:11" ht="21" x14ac:dyDescent="0.35">
      <c r="A1" s="25" t="s">
        <v>175</v>
      </c>
    </row>
    <row r="2" spans="1:11" ht="21" x14ac:dyDescent="0.35">
      <c r="A2" s="25" t="s">
        <v>176</v>
      </c>
    </row>
    <row r="3" spans="1:11" ht="21" x14ac:dyDescent="0.35">
      <c r="A3" s="25" t="s">
        <v>177</v>
      </c>
    </row>
    <row r="4" spans="1:11" ht="18.75" x14ac:dyDescent="0.3">
      <c r="I4" s="28" t="s">
        <v>185</v>
      </c>
    </row>
    <row r="5" spans="1:11" ht="18.75" x14ac:dyDescent="0.3">
      <c r="A5" s="26" t="s">
        <v>178</v>
      </c>
      <c r="I5" s="28" t="s">
        <v>186</v>
      </c>
    </row>
    <row r="6" spans="1:11" x14ac:dyDescent="0.25">
      <c r="A6" s="26" t="s">
        <v>171</v>
      </c>
      <c r="B6" s="26" t="s">
        <v>179</v>
      </c>
      <c r="C6" s="26" t="s">
        <v>180</v>
      </c>
      <c r="D6" s="26" t="s">
        <v>181</v>
      </c>
      <c r="E6" s="26" t="s">
        <v>182</v>
      </c>
      <c r="F6" s="26" t="s">
        <v>183</v>
      </c>
      <c r="G6" s="26" t="s">
        <v>184</v>
      </c>
    </row>
    <row r="7" spans="1:11" x14ac:dyDescent="0.25">
      <c r="A7" s="27" cm="1">
        <f t="array" ref="A7">INDEX(AAPL_Data[],ROW()-6,1)</f>
        <v>42156</v>
      </c>
      <c r="B7" cm="1">
        <f t="array" ref="B7">INDEX(AAPL_Data[],ROW()-6,2)</f>
        <v>29.14793396</v>
      </c>
      <c r="C7" s="21"/>
      <c r="D7">
        <f>_xlfn.XLOOKUP(A7,GSPC_Data[Date],GSPC_Data[Close])</f>
        <v>205.85</v>
      </c>
      <c r="E7" s="21"/>
      <c r="F7">
        <f>_xlfn.XLOOKUP(A7,MSFT_Data[Date],MSFT_Data[Close])</f>
        <v>44.15</v>
      </c>
      <c r="G7" s="21"/>
      <c r="I7" s="26" t="s">
        <v>187</v>
      </c>
      <c r="J7" s="26" t="s">
        <v>92</v>
      </c>
      <c r="K7" s="26" t="s">
        <v>188</v>
      </c>
    </row>
    <row r="8" spans="1:11" x14ac:dyDescent="0.25">
      <c r="A8" s="27" cm="1">
        <f t="array" ref="A8">INDEX(AAPL_Data[],ROW()-6,1)</f>
        <v>42186</v>
      </c>
      <c r="B8" cm="1">
        <f t="array" ref="B8">INDEX(AAPL_Data[],ROW()-6,2)</f>
        <v>29.48956871</v>
      </c>
      <c r="C8" s="21">
        <f t="shared" ref="C8:C64" si="0">(B8-B7)/B7</f>
        <v>1.1720719227264255E-2</v>
      </c>
      <c r="D8">
        <f>_xlfn.XLOOKUP(A8,GSPC_Data[Date],GSPC_Data[Close])</f>
        <v>210.5</v>
      </c>
      <c r="E8" s="21">
        <f t="shared" ref="E8:E64" si="1">(D8-D7)/D7</f>
        <v>2.2589264027204303E-2</v>
      </c>
      <c r="F8">
        <f>_xlfn.XLOOKUP(A8,MSFT_Data[Date],MSFT_Data[Close])</f>
        <v>46.7</v>
      </c>
      <c r="G8" s="21">
        <f t="shared" ref="G8:G64" si="2">(F8-F7)/F7</f>
        <v>5.7757644394111081E-2</v>
      </c>
      <c r="I8" t="s">
        <v>113</v>
      </c>
      <c r="J8" s="29">
        <f>_xlfn.COVARIANCE.S(C7:C136,E7:E136)/_xlfn.VAR.S(E7:E136)</f>
        <v>0.43950596564920824</v>
      </c>
      <c r="K8" s="29">
        <f>_xlfn.COVARIANCE.S(G7:G136,E7:E136)/_xlfn.VAR.S(E7:E136)</f>
        <v>0.97360337459080037</v>
      </c>
    </row>
    <row r="9" spans="1:11" x14ac:dyDescent="0.25">
      <c r="A9" s="27" cm="1">
        <f t="array" ref="A9">INDEX(AAPL_Data[],ROW()-6,1)</f>
        <v>42217</v>
      </c>
      <c r="B9" cm="1">
        <f t="array" ref="B9">INDEX(AAPL_Data[],ROW()-6,2)</f>
        <v>26.85295868</v>
      </c>
      <c r="C9" s="21">
        <f t="shared" si="0"/>
        <v>-8.9408226207998681E-2</v>
      </c>
      <c r="D9">
        <f>_xlfn.XLOOKUP(A9,GSPC_Data[Date],GSPC_Data[Close])</f>
        <v>197.67</v>
      </c>
      <c r="E9" s="21">
        <f t="shared" si="1"/>
        <v>-6.0950118764845664E-2</v>
      </c>
      <c r="F9">
        <f>_xlfn.XLOOKUP(A9,MSFT_Data[Date],MSFT_Data[Close])</f>
        <v>43.52</v>
      </c>
      <c r="G9" s="21">
        <f t="shared" si="2"/>
        <v>-6.8094218415417546E-2</v>
      </c>
      <c r="I9" t="s">
        <v>189</v>
      </c>
      <c r="J9" s="3">
        <f>STDEV(C7:C136)*SQRT(12)</f>
        <v>0.22094304203767171</v>
      </c>
      <c r="K9" s="3">
        <f>STDEV(G7:G136)*SQRT(12)</f>
        <v>0.21315907933537137</v>
      </c>
    </row>
    <row r="10" spans="1:11" x14ac:dyDescent="0.25">
      <c r="A10" s="27" cm="1">
        <f t="array" ref="A10">INDEX(AAPL_Data[],ROW()-6,1)</f>
        <v>42248</v>
      </c>
      <c r="B10" cm="1">
        <f t="array" ref="B10">INDEX(AAPL_Data[],ROW()-6,2)</f>
        <v>26.110540390000001</v>
      </c>
      <c r="C10" s="21">
        <f t="shared" si="0"/>
        <v>-2.7647541518505021E-2</v>
      </c>
      <c r="D10">
        <f>_xlfn.XLOOKUP(A10,GSPC_Data[Date],GSPC_Data[Close])</f>
        <v>191.63</v>
      </c>
      <c r="E10" s="21">
        <f t="shared" si="1"/>
        <v>-3.0555977133606478E-2</v>
      </c>
      <c r="F10">
        <f>_xlfn.XLOOKUP(A10,MSFT_Data[Date],MSFT_Data[Close])</f>
        <v>44.26</v>
      </c>
      <c r="G10" s="21">
        <f t="shared" si="2"/>
        <v>1.7003676470588116E-2</v>
      </c>
      <c r="I10" t="s">
        <v>190</v>
      </c>
      <c r="J10" s="29">
        <f>(AVERAGE(C7:C136)*12-RiskFreeRate)/J9</f>
        <v>0.84062491620938884</v>
      </c>
      <c r="K10" s="29">
        <f>(AVERAGE(G7:G136)*12-RiskFreeRate)/K9</f>
        <v>0.8280605653672003</v>
      </c>
    </row>
    <row r="11" spans="1:11" x14ac:dyDescent="0.25">
      <c r="A11" s="27" cm="1">
        <f t="array" ref="A11">INDEX(AAPL_Data[],ROW()-6,1)</f>
        <v>42278</v>
      </c>
      <c r="B11" cm="1">
        <f t="array" ref="B11">INDEX(AAPL_Data[],ROW()-6,2)</f>
        <v>27.034641270000002</v>
      </c>
      <c r="C11" s="21">
        <f t="shared" si="0"/>
        <v>3.5391871106349053E-2</v>
      </c>
      <c r="D11">
        <f>_xlfn.XLOOKUP(A11,GSPC_Data[Date],GSPC_Data[Close])</f>
        <v>207.93</v>
      </c>
      <c r="E11" s="21">
        <f t="shared" si="1"/>
        <v>8.5059750560976949E-2</v>
      </c>
      <c r="F11">
        <f>_xlfn.XLOOKUP(A11,MSFT_Data[Date],MSFT_Data[Close])</f>
        <v>52.64</v>
      </c>
      <c r="G11" s="21">
        <f t="shared" si="2"/>
        <v>0.18933574333483966</v>
      </c>
      <c r="I11" t="s">
        <v>191</v>
      </c>
      <c r="J11" s="3">
        <f>AVERAGE(C7:C136)</f>
        <v>1.9227518849997103E-2</v>
      </c>
      <c r="K11" s="3">
        <f>AVERAGE(G7:G136)</f>
        <v>1.845905231229996E-2</v>
      </c>
    </row>
    <row r="12" spans="1:11" x14ac:dyDescent="0.25">
      <c r="A12" s="27" cm="1">
        <f t="array" ref="A12">INDEX(AAPL_Data[],ROW()-6,1)</f>
        <v>42309</v>
      </c>
      <c r="B12" cm="1">
        <f t="array" ref="B12">INDEX(AAPL_Data[],ROW()-6,2)</f>
        <v>27.492214199999999</v>
      </c>
      <c r="C12" s="21">
        <f t="shared" si="0"/>
        <v>1.6925430059534789E-2</v>
      </c>
      <c r="D12">
        <f>_xlfn.XLOOKUP(A12,GSPC_Data[Date],GSPC_Data[Close])</f>
        <v>208.69</v>
      </c>
      <c r="E12" s="21">
        <f t="shared" si="1"/>
        <v>3.6550762275765446E-3</v>
      </c>
      <c r="F12">
        <f>_xlfn.XLOOKUP(A12,MSFT_Data[Date],MSFT_Data[Close])</f>
        <v>54.35</v>
      </c>
      <c r="G12" s="21">
        <f t="shared" si="2"/>
        <v>3.2484802431610955E-2</v>
      </c>
      <c r="I12" t="s">
        <v>192</v>
      </c>
      <c r="J12" s="3">
        <f>(B136-B7)/B7</f>
        <v>8.0819473367573131</v>
      </c>
      <c r="K12" s="3">
        <f>(F136-F7)/F7</f>
        <v>7.3843714609286533</v>
      </c>
    </row>
    <row r="13" spans="1:11" x14ac:dyDescent="0.25">
      <c r="A13" s="27" cm="1">
        <f t="array" ref="A13">INDEX(AAPL_Data[],ROW()-6,1)</f>
        <v>42339</v>
      </c>
      <c r="B13" cm="1">
        <f t="array" ref="B13">INDEX(AAPL_Data[],ROW()-6,2)</f>
        <v>26.81248093</v>
      </c>
      <c r="C13" s="21">
        <f t="shared" si="0"/>
        <v>-2.4724573475787916E-2</v>
      </c>
      <c r="D13">
        <f>_xlfn.XLOOKUP(A13,GSPC_Data[Date],GSPC_Data[Close])</f>
        <v>203.87</v>
      </c>
      <c r="E13" s="21">
        <f t="shared" si="1"/>
        <v>-2.3096458862427491E-2</v>
      </c>
      <c r="F13">
        <f>_xlfn.XLOOKUP(A13,MSFT_Data[Date],MSFT_Data[Close])</f>
        <v>55.48</v>
      </c>
      <c r="G13" s="21">
        <f t="shared" si="2"/>
        <v>2.0791168353265783E-2</v>
      </c>
      <c r="I13" t="s">
        <v>193</v>
      </c>
      <c r="J13" s="3">
        <f>CORREL(C7:C136,E7:E136)</f>
        <v>0.30273427355111021</v>
      </c>
      <c r="K13" s="3">
        <f>CORREL(G7:G136,E7:E136)</f>
        <v>0.69511295284182206</v>
      </c>
    </row>
    <row r="14" spans="1:11" x14ac:dyDescent="0.25">
      <c r="A14" s="27" cm="1">
        <f t="array" ref="A14">INDEX(AAPL_Data[],ROW()-6,1)</f>
        <v>42370</v>
      </c>
      <c r="B14" cm="1">
        <f t="array" ref="B14">INDEX(AAPL_Data[],ROW()-6,2)</f>
        <v>23.730947489999998</v>
      </c>
      <c r="C14" s="21">
        <f t="shared" si="0"/>
        <v>-0.11492906784885129</v>
      </c>
      <c r="D14">
        <f>_xlfn.XLOOKUP(A14,GSPC_Data[Date],GSPC_Data[Close])</f>
        <v>193.72</v>
      </c>
      <c r="E14" s="21">
        <f t="shared" si="1"/>
        <v>-4.9786628733997182E-2</v>
      </c>
      <c r="F14">
        <f>_xlfn.XLOOKUP(A14,MSFT_Data[Date],MSFT_Data[Close])</f>
        <v>55.09</v>
      </c>
      <c r="G14" s="21">
        <f t="shared" si="2"/>
        <v>-7.0295602018744319E-3</v>
      </c>
    </row>
    <row r="15" spans="1:11" x14ac:dyDescent="0.25">
      <c r="A15" s="27" cm="1">
        <f t="array" ref="A15">INDEX(AAPL_Data[],ROW()-6,1)</f>
        <v>42401</v>
      </c>
      <c r="B15" cm="1">
        <f t="array" ref="B15">INDEX(AAPL_Data[],ROW()-6,2)</f>
        <v>22.22226715</v>
      </c>
      <c r="C15" s="21">
        <f t="shared" si="0"/>
        <v>-6.3574382802698545E-2</v>
      </c>
      <c r="D15">
        <f>_xlfn.XLOOKUP(A15,GSPC_Data[Date],GSPC_Data[Close])</f>
        <v>193.56</v>
      </c>
      <c r="E15" s="21">
        <f t="shared" si="1"/>
        <v>-8.2593433822009392E-4</v>
      </c>
      <c r="F15">
        <f>_xlfn.XLOOKUP(A15,MSFT_Data[Date],MSFT_Data[Close])</f>
        <v>50.88</v>
      </c>
      <c r="G15" s="21">
        <f t="shared" si="2"/>
        <v>-7.6420402976946827E-2</v>
      </c>
    </row>
    <row r="16" spans="1:11" x14ac:dyDescent="0.25">
      <c r="A16" s="27" cm="1">
        <f t="array" ref="A16">INDEX(AAPL_Data[],ROW()-6,1)</f>
        <v>42430</v>
      </c>
      <c r="B16" cm="1">
        <f t="array" ref="B16">INDEX(AAPL_Data[],ROW()-6,2)</f>
        <v>24.813196179999998</v>
      </c>
      <c r="C16" s="21">
        <f t="shared" si="0"/>
        <v>0.11659157063099199</v>
      </c>
      <c r="D16">
        <f>_xlfn.XLOOKUP(A16,GSPC_Data[Date],GSPC_Data[Close])</f>
        <v>205.52</v>
      </c>
      <c r="E16" s="21">
        <f t="shared" si="1"/>
        <v>6.1789625955776029E-2</v>
      </c>
      <c r="F16">
        <f>_xlfn.XLOOKUP(A16,MSFT_Data[Date],MSFT_Data[Close])</f>
        <v>55.23</v>
      </c>
      <c r="G16" s="21">
        <f t="shared" si="2"/>
        <v>8.5495283018867815E-2</v>
      </c>
    </row>
    <row r="17" spans="1:7" x14ac:dyDescent="0.25">
      <c r="A17" s="27" cm="1">
        <f t="array" ref="A17">INDEX(AAPL_Data[],ROW()-6,1)</f>
        <v>42461</v>
      </c>
      <c r="B17" cm="1">
        <f t="array" ref="B17">INDEX(AAPL_Data[],ROW()-6,2)</f>
        <v>25.38845062</v>
      </c>
      <c r="C17" s="21">
        <f t="shared" si="0"/>
        <v>2.3183407563741026E-2</v>
      </c>
      <c r="D17">
        <f>_xlfn.XLOOKUP(A17,GSPC_Data[Date],GSPC_Data[Close])</f>
        <v>206.33</v>
      </c>
      <c r="E17" s="21">
        <f t="shared" si="1"/>
        <v>3.9412222654729573E-3</v>
      </c>
      <c r="F17">
        <f>_xlfn.XLOOKUP(A17,MSFT_Data[Date],MSFT_Data[Close])</f>
        <v>49.87</v>
      </c>
      <c r="G17" s="21">
        <f t="shared" si="2"/>
        <v>-9.7048705413724415E-2</v>
      </c>
    </row>
    <row r="18" spans="1:7" x14ac:dyDescent="0.25">
      <c r="A18" s="27" cm="1">
        <f t="array" ref="A18">INDEX(AAPL_Data[],ROW()-6,1)</f>
        <v>42491</v>
      </c>
      <c r="B18" cm="1">
        <f t="array" ref="B18">INDEX(AAPL_Data[],ROW()-6,2)</f>
        <v>22.879360200000001</v>
      </c>
      <c r="C18" s="21">
        <f t="shared" si="0"/>
        <v>-9.8828024504316908E-2</v>
      </c>
      <c r="D18">
        <f>_xlfn.XLOOKUP(A18,GSPC_Data[Date],GSPC_Data[Close])</f>
        <v>209.84</v>
      </c>
      <c r="E18" s="21">
        <f t="shared" si="1"/>
        <v>1.7011583385838174E-2</v>
      </c>
      <c r="F18">
        <f>_xlfn.XLOOKUP(A18,MSFT_Data[Date],MSFT_Data[Close])</f>
        <v>53</v>
      </c>
      <c r="G18" s="21">
        <f t="shared" si="2"/>
        <v>6.2763184279125778E-2</v>
      </c>
    </row>
    <row r="19" spans="1:7" x14ac:dyDescent="0.25">
      <c r="A19" s="27" cm="1">
        <f t="array" ref="A19">INDEX(AAPL_Data[],ROW()-6,1)</f>
        <v>42522</v>
      </c>
      <c r="B19" cm="1">
        <f t="array" ref="B19">INDEX(AAPL_Data[],ROW()-6,2)</f>
        <v>22.7061882</v>
      </c>
      <c r="C19" s="21">
        <f t="shared" si="0"/>
        <v>-7.5689179455289569E-3</v>
      </c>
      <c r="D19">
        <f>_xlfn.XLOOKUP(A19,GSPC_Data[Date],GSPC_Data[Close])</f>
        <v>209.47</v>
      </c>
      <c r="E19" s="21">
        <f t="shared" si="1"/>
        <v>-1.7632481890964761E-3</v>
      </c>
      <c r="F19">
        <f>_xlfn.XLOOKUP(A19,MSFT_Data[Date],MSFT_Data[Close])</f>
        <v>51.17</v>
      </c>
      <c r="G19" s="21">
        <f t="shared" si="2"/>
        <v>-3.4528301886792422E-2</v>
      </c>
    </row>
    <row r="20" spans="1:7" x14ac:dyDescent="0.25">
      <c r="A20" s="27" cm="1">
        <f t="array" ref="A20">INDEX(AAPL_Data[],ROW()-6,1)</f>
        <v>42552</v>
      </c>
      <c r="B20" cm="1">
        <f t="array" ref="B20">INDEX(AAPL_Data[],ROW()-6,2)</f>
        <v>23.77485085</v>
      </c>
      <c r="C20" s="21">
        <f t="shared" si="0"/>
        <v>4.7064819536728773E-2</v>
      </c>
      <c r="D20">
        <f>_xlfn.XLOOKUP(A20,GSPC_Data[Date],GSPC_Data[Close])</f>
        <v>217.12</v>
      </c>
      <c r="E20" s="21">
        <f t="shared" si="1"/>
        <v>3.6520742827135175E-2</v>
      </c>
      <c r="F20">
        <f>_xlfn.XLOOKUP(A20,MSFT_Data[Date],MSFT_Data[Close])</f>
        <v>56.68</v>
      </c>
      <c r="G20" s="21">
        <f t="shared" si="2"/>
        <v>0.1076802814148915</v>
      </c>
    </row>
    <row r="21" spans="1:7" x14ac:dyDescent="0.25">
      <c r="A21" s="27" cm="1">
        <f t="array" ref="A21">INDEX(AAPL_Data[],ROW()-6,1)</f>
        <v>42583</v>
      </c>
      <c r="B21" cm="1">
        <f t="array" ref="B21">INDEX(AAPL_Data[],ROW()-6,2)</f>
        <v>25.081184390000001</v>
      </c>
      <c r="C21" s="21">
        <f t="shared" si="0"/>
        <v>5.4946024614072421E-2</v>
      </c>
      <c r="D21">
        <f>_xlfn.XLOOKUP(A21,GSPC_Data[Date],GSPC_Data[Close])</f>
        <v>217.38</v>
      </c>
      <c r="E21" s="21">
        <f t="shared" si="1"/>
        <v>1.1974944731023898E-3</v>
      </c>
      <c r="F21">
        <f>_xlfn.XLOOKUP(A21,MSFT_Data[Date],MSFT_Data[Close])</f>
        <v>57.46</v>
      </c>
      <c r="G21" s="21">
        <f t="shared" si="2"/>
        <v>1.3761467889908277E-2</v>
      </c>
    </row>
    <row r="22" spans="1:7" x14ac:dyDescent="0.25">
      <c r="A22" s="27" cm="1">
        <f t="array" ref="A22">INDEX(AAPL_Data[],ROW()-6,1)</f>
        <v>42614</v>
      </c>
      <c r="B22" cm="1">
        <f t="array" ref="B22">INDEX(AAPL_Data[],ROW()-6,2)</f>
        <v>26.476364140000001</v>
      </c>
      <c r="C22" s="21">
        <f t="shared" si="0"/>
        <v>5.5626549699792721E-2</v>
      </c>
      <c r="D22">
        <f>_xlfn.XLOOKUP(A22,GSPC_Data[Date],GSPC_Data[Close])</f>
        <v>216.3</v>
      </c>
      <c r="E22" s="21">
        <f t="shared" si="1"/>
        <v>-4.9682583494340977E-3</v>
      </c>
      <c r="F22">
        <f>_xlfn.XLOOKUP(A22,MSFT_Data[Date],MSFT_Data[Close])</f>
        <v>57.6</v>
      </c>
      <c r="G22" s="21">
        <f t="shared" si="2"/>
        <v>2.4364775495997314E-3</v>
      </c>
    </row>
    <row r="23" spans="1:7" x14ac:dyDescent="0.25">
      <c r="A23" s="27" cm="1">
        <f t="array" ref="A23">INDEX(AAPL_Data[],ROW()-6,1)</f>
        <v>42644</v>
      </c>
      <c r="B23" cm="1">
        <f t="array" ref="B23">INDEX(AAPL_Data[],ROW()-6,2)</f>
        <v>27.090333940000001</v>
      </c>
      <c r="C23" s="21">
        <f t="shared" si="0"/>
        <v>2.3189354729882466E-2</v>
      </c>
      <c r="D23">
        <f>_xlfn.XLOOKUP(A23,GSPC_Data[Date],GSPC_Data[Close])</f>
        <v>212.55</v>
      </c>
      <c r="E23" s="21">
        <f t="shared" si="1"/>
        <v>-1.7337031900138695E-2</v>
      </c>
      <c r="F23">
        <f>_xlfn.XLOOKUP(A23,MSFT_Data[Date],MSFT_Data[Close])</f>
        <v>59.92</v>
      </c>
      <c r="G23" s="21">
        <f t="shared" si="2"/>
        <v>4.027777777777778E-2</v>
      </c>
    </row>
    <row r="24" spans="1:7" x14ac:dyDescent="0.25">
      <c r="A24" s="27" cm="1">
        <f t="array" ref="A24">INDEX(AAPL_Data[],ROW()-6,1)</f>
        <v>42675</v>
      </c>
      <c r="B24" cm="1">
        <f t="array" ref="B24">INDEX(AAPL_Data[],ROW()-6,2)</f>
        <v>25.744180679999999</v>
      </c>
      <c r="C24" s="21">
        <f t="shared" si="0"/>
        <v>-4.969127597251026E-2</v>
      </c>
      <c r="D24">
        <f>_xlfn.XLOOKUP(A24,GSPC_Data[Date],GSPC_Data[Close])</f>
        <v>220.38</v>
      </c>
      <c r="E24" s="21">
        <f t="shared" si="1"/>
        <v>3.683839096683126E-2</v>
      </c>
      <c r="F24">
        <f>_xlfn.XLOOKUP(A24,MSFT_Data[Date],MSFT_Data[Close])</f>
        <v>60.26</v>
      </c>
      <c r="G24" s="21">
        <f t="shared" si="2"/>
        <v>5.6742323097462664E-3</v>
      </c>
    </row>
    <row r="25" spans="1:7" x14ac:dyDescent="0.25">
      <c r="A25" s="27" cm="1">
        <f t="array" ref="A25">INDEX(AAPL_Data[],ROW()-6,1)</f>
        <v>42705</v>
      </c>
      <c r="B25" cm="1">
        <f t="array" ref="B25">INDEX(AAPL_Data[],ROW()-6,2)</f>
        <v>27.001461030000002</v>
      </c>
      <c r="C25" s="21">
        <f t="shared" si="0"/>
        <v>4.8837458283407374E-2</v>
      </c>
      <c r="D25">
        <f>_xlfn.XLOOKUP(A25,GSPC_Data[Date],GSPC_Data[Close])</f>
        <v>223.53</v>
      </c>
      <c r="E25" s="21">
        <f t="shared" si="1"/>
        <v>1.4293493057446255E-2</v>
      </c>
      <c r="F25">
        <f>_xlfn.XLOOKUP(A25,MSFT_Data[Date],MSFT_Data[Close])</f>
        <v>62.14</v>
      </c>
      <c r="G25" s="21">
        <f t="shared" si="2"/>
        <v>3.1198141387321649E-2</v>
      </c>
    </row>
    <row r="26" spans="1:7" x14ac:dyDescent="0.25">
      <c r="A26" s="27" cm="1">
        <f t="array" ref="A26">INDEX(AAPL_Data[],ROW()-6,1)</f>
        <v>42736</v>
      </c>
      <c r="B26" cm="1">
        <f t="array" ref="B26">INDEX(AAPL_Data[],ROW()-6,2)</f>
        <v>28.08141518</v>
      </c>
      <c r="C26" s="21">
        <f t="shared" si="0"/>
        <v>3.9996137571967488E-2</v>
      </c>
      <c r="D26">
        <f>_xlfn.XLOOKUP(A26,GSPC_Data[Date],GSPC_Data[Close])</f>
        <v>227.53</v>
      </c>
      <c r="E26" s="21">
        <f t="shared" si="1"/>
        <v>1.7894689750816446E-2</v>
      </c>
      <c r="F26">
        <f>_xlfn.XLOOKUP(A26,MSFT_Data[Date],MSFT_Data[Close])</f>
        <v>64.650000000000006</v>
      </c>
      <c r="G26" s="21">
        <f t="shared" si="2"/>
        <v>4.0392661731573951E-2</v>
      </c>
    </row>
    <row r="27" spans="1:7" x14ac:dyDescent="0.25">
      <c r="A27" s="27" cm="1">
        <f t="array" ref="A27">INDEX(AAPL_Data[],ROW()-6,1)</f>
        <v>42767</v>
      </c>
      <c r="B27" cm="1">
        <f t="array" ref="B27">INDEX(AAPL_Data[],ROW()-6,2)</f>
        <v>31.70919228</v>
      </c>
      <c r="C27" s="21">
        <f t="shared" si="0"/>
        <v>0.12918783034067871</v>
      </c>
      <c r="D27">
        <f>_xlfn.XLOOKUP(A27,GSPC_Data[Date],GSPC_Data[Close])</f>
        <v>236.47</v>
      </c>
      <c r="E27" s="21">
        <f t="shared" si="1"/>
        <v>3.9291521997099274E-2</v>
      </c>
      <c r="F27">
        <f>_xlfn.XLOOKUP(A27,MSFT_Data[Date],MSFT_Data[Close])</f>
        <v>63.98</v>
      </c>
      <c r="G27" s="21">
        <f t="shared" si="2"/>
        <v>-1.0363495746326508E-2</v>
      </c>
    </row>
    <row r="28" spans="1:7" x14ac:dyDescent="0.25">
      <c r="A28" s="27" cm="1">
        <f t="array" ref="A28">INDEX(AAPL_Data[],ROW()-6,1)</f>
        <v>42795</v>
      </c>
      <c r="B28" cm="1">
        <f t="array" ref="B28">INDEX(AAPL_Data[],ROW()-6,2)</f>
        <v>33.330368040000003</v>
      </c>
      <c r="C28" s="21">
        <f t="shared" si="0"/>
        <v>5.1126365682374407E-2</v>
      </c>
      <c r="D28">
        <f>_xlfn.XLOOKUP(A28,GSPC_Data[Date],GSPC_Data[Close])</f>
        <v>235.74</v>
      </c>
      <c r="E28" s="21">
        <f t="shared" si="1"/>
        <v>-3.0870723559013394E-3</v>
      </c>
      <c r="F28">
        <f>_xlfn.XLOOKUP(A28,MSFT_Data[Date],MSFT_Data[Close])</f>
        <v>65.86</v>
      </c>
      <c r="G28" s="21">
        <f t="shared" si="2"/>
        <v>2.938418255704912E-2</v>
      </c>
    </row>
    <row r="29" spans="1:7" x14ac:dyDescent="0.25">
      <c r="A29" s="27" cm="1">
        <f t="array" ref="A29">INDEX(AAPL_Data[],ROW()-6,1)</f>
        <v>42826</v>
      </c>
      <c r="B29" cm="1">
        <f t="array" ref="B29">INDEX(AAPL_Data[],ROW()-6,2)</f>
        <v>33.480720519999998</v>
      </c>
      <c r="C29" s="21">
        <f t="shared" si="0"/>
        <v>4.5109756909841522E-3</v>
      </c>
      <c r="D29">
        <f>_xlfn.XLOOKUP(A29,GSPC_Data[Date],GSPC_Data[Close])</f>
        <v>238.08</v>
      </c>
      <c r="E29" s="21">
        <f t="shared" si="1"/>
        <v>9.9261898701959918E-3</v>
      </c>
      <c r="F29">
        <f>_xlfn.XLOOKUP(A29,MSFT_Data[Date],MSFT_Data[Close])</f>
        <v>68.459999999999994</v>
      </c>
      <c r="G29" s="21">
        <f t="shared" si="2"/>
        <v>3.9477679927118044E-2</v>
      </c>
    </row>
    <row r="30" spans="1:7" x14ac:dyDescent="0.25">
      <c r="A30" s="27" cm="1">
        <f t="array" ref="A30">INDEX(AAPL_Data[],ROW()-6,1)</f>
        <v>42856</v>
      </c>
      <c r="B30" cm="1">
        <f t="array" ref="B30">INDEX(AAPL_Data[],ROW()-6,2)</f>
        <v>36.249984740000002</v>
      </c>
      <c r="C30" s="21">
        <f t="shared" si="0"/>
        <v>8.2712205023955793E-2</v>
      </c>
      <c r="D30">
        <f>_xlfn.XLOOKUP(A30,GSPC_Data[Date],GSPC_Data[Close])</f>
        <v>241.44</v>
      </c>
      <c r="E30" s="21">
        <f t="shared" si="1"/>
        <v>1.4112903225806389E-2</v>
      </c>
      <c r="F30">
        <f>_xlfn.XLOOKUP(A30,MSFT_Data[Date],MSFT_Data[Close])</f>
        <v>69.84</v>
      </c>
      <c r="G30" s="21">
        <f t="shared" si="2"/>
        <v>2.0157756354075514E-2</v>
      </c>
    </row>
    <row r="31" spans="1:7" x14ac:dyDescent="0.25">
      <c r="A31" s="27" cm="1">
        <f t="array" ref="A31">INDEX(AAPL_Data[],ROW()-6,1)</f>
        <v>42887</v>
      </c>
      <c r="B31" cm="1">
        <f t="array" ref="B31">INDEX(AAPL_Data[],ROW()-6,2)</f>
        <v>36.099040989999999</v>
      </c>
      <c r="C31" s="21">
        <f t="shared" si="0"/>
        <v>-4.163967270128105E-3</v>
      </c>
      <c r="D31">
        <f>_xlfn.XLOOKUP(A31,GSPC_Data[Date],GSPC_Data[Close])</f>
        <v>241.8</v>
      </c>
      <c r="E31" s="21">
        <f t="shared" si="1"/>
        <v>1.4910536779324621E-3</v>
      </c>
      <c r="F31">
        <f>_xlfn.XLOOKUP(A31,MSFT_Data[Date],MSFT_Data[Close])</f>
        <v>68.930000000000007</v>
      </c>
      <c r="G31" s="21">
        <f t="shared" si="2"/>
        <v>-1.3029782359679217E-2</v>
      </c>
    </row>
    <row r="32" spans="1:7" x14ac:dyDescent="0.25">
      <c r="A32" s="27" cm="1">
        <f t="array" ref="A32">INDEX(AAPL_Data[],ROW()-6,1)</f>
        <v>42917</v>
      </c>
      <c r="B32" cm="1">
        <f t="array" ref="B32">INDEX(AAPL_Data[],ROW()-6,2)</f>
        <v>35.636932369999997</v>
      </c>
      <c r="C32" s="21">
        <f t="shared" si="0"/>
        <v>-1.2801132864665672E-2</v>
      </c>
      <c r="D32">
        <f>_xlfn.XLOOKUP(A32,GSPC_Data[Date],GSPC_Data[Close])</f>
        <v>246.77</v>
      </c>
      <c r="E32" s="21">
        <f t="shared" si="1"/>
        <v>2.0554177005789903E-2</v>
      </c>
      <c r="F32">
        <f>_xlfn.XLOOKUP(A32,MSFT_Data[Date],MSFT_Data[Close])</f>
        <v>72.7</v>
      </c>
      <c r="G32" s="21">
        <f t="shared" si="2"/>
        <v>5.4693166980995148E-2</v>
      </c>
    </row>
    <row r="33" spans="1:7" x14ac:dyDescent="0.25">
      <c r="A33" s="27" cm="1">
        <f t="array" ref="A33">INDEX(AAPL_Data[],ROW()-6,1)</f>
        <v>42948</v>
      </c>
      <c r="B33" cm="1">
        <f t="array" ref="B33">INDEX(AAPL_Data[],ROW()-6,2)</f>
        <v>38.23411179</v>
      </c>
      <c r="C33" s="21">
        <f t="shared" si="0"/>
        <v>7.287887164458548E-2</v>
      </c>
      <c r="D33">
        <f>_xlfn.XLOOKUP(A33,GSPC_Data[Date],GSPC_Data[Close])</f>
        <v>247.49</v>
      </c>
      <c r="E33" s="21">
        <f t="shared" si="1"/>
        <v>2.9176966405965021E-3</v>
      </c>
      <c r="F33">
        <f>_xlfn.XLOOKUP(A33,MSFT_Data[Date],MSFT_Data[Close])</f>
        <v>74.77</v>
      </c>
      <c r="G33" s="21">
        <f t="shared" si="2"/>
        <v>2.8473177441540484E-2</v>
      </c>
    </row>
    <row r="34" spans="1:7" x14ac:dyDescent="0.25">
      <c r="A34" s="27" cm="1">
        <f t="array" ref="A34">INDEX(AAPL_Data[],ROW()-6,1)</f>
        <v>42979</v>
      </c>
      <c r="B34" cm="1">
        <f t="array" ref="B34">INDEX(AAPL_Data[],ROW()-6,2)</f>
        <v>38.245773319999998</v>
      </c>
      <c r="C34" s="21">
        <f t="shared" si="0"/>
        <v>3.0500329297692341E-4</v>
      </c>
      <c r="D34">
        <f>_xlfn.XLOOKUP(A34,GSPC_Data[Date],GSPC_Data[Close])</f>
        <v>251.23</v>
      </c>
      <c r="E34" s="21">
        <f t="shared" si="1"/>
        <v>1.5111721685724597E-2</v>
      </c>
      <c r="F34">
        <f>_xlfn.XLOOKUP(A34,MSFT_Data[Date],MSFT_Data[Close])</f>
        <v>74.489999999999995</v>
      </c>
      <c r="G34" s="21">
        <f t="shared" si="2"/>
        <v>-3.7448174401498082E-3</v>
      </c>
    </row>
    <row r="35" spans="1:7" x14ac:dyDescent="0.25">
      <c r="A35" s="27" cm="1">
        <f t="array" ref="A35">INDEX(AAPL_Data[],ROW()-6,1)</f>
        <v>43009</v>
      </c>
      <c r="B35" cm="1">
        <f t="array" ref="B35">INDEX(AAPL_Data[],ROW()-6,2)</f>
        <v>39.409103389999999</v>
      </c>
      <c r="C35" s="21">
        <f t="shared" si="0"/>
        <v>3.0417219185672899E-2</v>
      </c>
      <c r="D35">
        <f>_xlfn.XLOOKUP(A35,GSPC_Data[Date],GSPC_Data[Close])</f>
        <v>257.14999999999998</v>
      </c>
      <c r="E35" s="21">
        <f t="shared" si="1"/>
        <v>2.3564064801178154E-2</v>
      </c>
      <c r="F35">
        <f>_xlfn.XLOOKUP(A35,MSFT_Data[Date],MSFT_Data[Close])</f>
        <v>83.18</v>
      </c>
      <c r="G35" s="21">
        <f t="shared" si="2"/>
        <v>0.11665995435628961</v>
      </c>
    </row>
    <row r="36" spans="1:7" x14ac:dyDescent="0.25">
      <c r="A36" s="27" cm="1">
        <f t="array" ref="A36">INDEX(AAPL_Data[],ROW()-6,1)</f>
        <v>43040</v>
      </c>
      <c r="B36" cm="1">
        <f t="array" ref="B36">INDEX(AAPL_Data[],ROW()-6,2)</f>
        <v>41.087680820000003</v>
      </c>
      <c r="C36" s="21">
        <f t="shared" si="0"/>
        <v>4.2593646787354743E-2</v>
      </c>
      <c r="D36">
        <f>_xlfn.XLOOKUP(A36,GSPC_Data[Date],GSPC_Data[Close])</f>
        <v>265.01</v>
      </c>
      <c r="E36" s="21">
        <f t="shared" si="1"/>
        <v>3.0565817616177385E-2</v>
      </c>
      <c r="F36">
        <f>_xlfn.XLOOKUP(A36,MSFT_Data[Date],MSFT_Data[Close])</f>
        <v>84.17</v>
      </c>
      <c r="G36" s="21">
        <f t="shared" si="2"/>
        <v>1.1901899495070868E-2</v>
      </c>
    </row>
    <row r="37" spans="1:7" x14ac:dyDescent="0.25">
      <c r="A37" s="27" cm="1">
        <f t="array" ref="A37">INDEX(AAPL_Data[],ROW()-6,1)</f>
        <v>43070</v>
      </c>
      <c r="B37" cm="1">
        <f t="array" ref="B37">INDEX(AAPL_Data[],ROW()-6,2)</f>
        <v>41.277496339999999</v>
      </c>
      <c r="C37" s="21">
        <f t="shared" si="0"/>
        <v>4.6197671957089598E-3</v>
      </c>
      <c r="D37">
        <f>_xlfn.XLOOKUP(A37,GSPC_Data[Date],GSPC_Data[Close])</f>
        <v>266.86</v>
      </c>
      <c r="E37" s="21">
        <f t="shared" si="1"/>
        <v>6.9808686464662567E-3</v>
      </c>
      <c r="F37">
        <f>_xlfn.XLOOKUP(A37,MSFT_Data[Date],MSFT_Data[Close])</f>
        <v>85.54</v>
      </c>
      <c r="G37" s="21">
        <f t="shared" si="2"/>
        <v>1.6276583105619632E-2</v>
      </c>
    </row>
    <row r="38" spans="1:7" x14ac:dyDescent="0.25">
      <c r="A38" s="27" cm="1">
        <f t="array" ref="A38">INDEX(AAPL_Data[],ROW()-6,1)</f>
        <v>43101</v>
      </c>
      <c r="B38" cm="1">
        <f t="array" ref="B38">INDEX(AAPL_Data[],ROW()-6,2)</f>
        <v>41.941974639999998</v>
      </c>
      <c r="C38" s="21">
        <f t="shared" si="0"/>
        <v>1.6097834387210293E-2</v>
      </c>
      <c r="D38">
        <f>_xlfn.XLOOKUP(A38,GSPC_Data[Date],GSPC_Data[Close])</f>
        <v>281.89999999999998</v>
      </c>
      <c r="E38" s="21">
        <f t="shared" si="1"/>
        <v>5.6359139623772626E-2</v>
      </c>
      <c r="F38">
        <f>_xlfn.XLOOKUP(A38,MSFT_Data[Date],MSFT_Data[Close])</f>
        <v>95.01</v>
      </c>
      <c r="G38" s="21">
        <f t="shared" si="2"/>
        <v>0.11070844049567452</v>
      </c>
    </row>
    <row r="39" spans="1:7" x14ac:dyDescent="0.25">
      <c r="A39" s="27" cm="1">
        <f t="array" ref="A39">INDEX(AAPL_Data[],ROW()-6,1)</f>
        <v>43132</v>
      </c>
      <c r="B39" cm="1">
        <f t="array" ref="B39">INDEX(AAPL_Data[],ROW()-6,2)</f>
        <v>42.044853209999999</v>
      </c>
      <c r="C39" s="21">
        <f t="shared" si="0"/>
        <v>2.4528785514520415E-3</v>
      </c>
      <c r="D39">
        <f>_xlfn.XLOOKUP(A39,GSPC_Data[Date],GSPC_Data[Close])</f>
        <v>271.64999999999998</v>
      </c>
      <c r="E39" s="21">
        <f t="shared" si="1"/>
        <v>-3.636041149343739E-2</v>
      </c>
      <c r="F39">
        <f>_xlfn.XLOOKUP(A39,MSFT_Data[Date],MSFT_Data[Close])</f>
        <v>93.77</v>
      </c>
      <c r="G39" s="21">
        <f t="shared" si="2"/>
        <v>-1.3051257762340901E-2</v>
      </c>
    </row>
    <row r="40" spans="1:7" x14ac:dyDescent="0.25">
      <c r="A40" s="27" cm="1">
        <f t="array" ref="A40">INDEX(AAPL_Data[],ROW()-6,1)</f>
        <v>43160</v>
      </c>
      <c r="B40" cm="1">
        <f t="array" ref="B40">INDEX(AAPL_Data[],ROW()-6,2)</f>
        <v>42.690910340000002</v>
      </c>
      <c r="C40" s="21">
        <f t="shared" si="0"/>
        <v>1.5365902855532949E-2</v>
      </c>
      <c r="D40">
        <f>_xlfn.XLOOKUP(A40,GSPC_Data[Date],GSPC_Data[Close])</f>
        <v>263.14999999999998</v>
      </c>
      <c r="E40" s="21">
        <f t="shared" si="1"/>
        <v>-3.129026320633168E-2</v>
      </c>
      <c r="F40">
        <f>_xlfn.XLOOKUP(A40,MSFT_Data[Date],MSFT_Data[Close])</f>
        <v>91.27</v>
      </c>
      <c r="G40" s="21">
        <f t="shared" si="2"/>
        <v>-2.6660978991148557E-2</v>
      </c>
    </row>
    <row r="41" spans="1:7" x14ac:dyDescent="0.25">
      <c r="A41" s="27" cm="1">
        <f t="array" ref="A41">INDEX(AAPL_Data[],ROW()-6,1)</f>
        <v>43191</v>
      </c>
      <c r="B41" cm="1">
        <f t="array" ref="B41">INDEX(AAPL_Data[],ROW()-6,2)</f>
        <v>41.873367309999999</v>
      </c>
      <c r="C41" s="21">
        <f t="shared" si="0"/>
        <v>-1.9150283362170228E-2</v>
      </c>
      <c r="D41">
        <f>_xlfn.XLOOKUP(A41,GSPC_Data[Date],GSPC_Data[Close])</f>
        <v>264.51</v>
      </c>
      <c r="E41" s="21">
        <f t="shared" si="1"/>
        <v>5.1681550446513918E-3</v>
      </c>
      <c r="F41">
        <f>_xlfn.XLOOKUP(A41,MSFT_Data[Date],MSFT_Data[Close])</f>
        <v>93.52</v>
      </c>
      <c r="G41" s="21">
        <f t="shared" si="2"/>
        <v>2.4652131039772106E-2</v>
      </c>
    </row>
    <row r="42" spans="1:7" x14ac:dyDescent="0.25">
      <c r="A42" s="27" cm="1">
        <f t="array" ref="A42">INDEX(AAPL_Data[],ROW()-6,1)</f>
        <v>43221</v>
      </c>
      <c r="B42" cm="1">
        <f t="array" ref="B42">INDEX(AAPL_Data[],ROW()-6,2)</f>
        <v>44.645496369999996</v>
      </c>
      <c r="C42" s="21">
        <f t="shared" si="0"/>
        <v>6.6202678171955159E-2</v>
      </c>
      <c r="D42">
        <f>_xlfn.XLOOKUP(A42,GSPC_Data[Date],GSPC_Data[Close])</f>
        <v>270.94</v>
      </c>
      <c r="E42" s="21">
        <f t="shared" si="1"/>
        <v>2.4309099844996435E-2</v>
      </c>
      <c r="F42">
        <f>_xlfn.XLOOKUP(A42,MSFT_Data[Date],MSFT_Data[Close])</f>
        <v>98.84</v>
      </c>
      <c r="G42" s="21">
        <f t="shared" si="2"/>
        <v>5.688622754491026E-2</v>
      </c>
    </row>
    <row r="43" spans="1:7" x14ac:dyDescent="0.25">
      <c r="A43" s="27" cm="1">
        <f t="array" ref="A43">INDEX(AAPL_Data[],ROW()-6,1)</f>
        <v>43252</v>
      </c>
      <c r="B43" cm="1">
        <f t="array" ref="B43">INDEX(AAPL_Data[],ROW()-6,2)</f>
        <v>45.746837620000001</v>
      </c>
      <c r="C43" s="21">
        <f t="shared" si="0"/>
        <v>2.4668585625583099E-2</v>
      </c>
      <c r="D43">
        <f>_xlfn.XLOOKUP(A43,GSPC_Data[Date],GSPC_Data[Close])</f>
        <v>271.27999999999997</v>
      </c>
      <c r="E43" s="21">
        <f t="shared" si="1"/>
        <v>1.254890381634218E-3</v>
      </c>
      <c r="F43">
        <f>_xlfn.XLOOKUP(A43,MSFT_Data[Date],MSFT_Data[Close])</f>
        <v>98.61</v>
      </c>
      <c r="G43" s="21">
        <f t="shared" si="2"/>
        <v>-2.3269931201942936E-3</v>
      </c>
    </row>
    <row r="44" spans="1:7" x14ac:dyDescent="0.25">
      <c r="A44" s="27" cm="1">
        <f t="array" ref="A44">INDEX(AAPL_Data[],ROW()-6,1)</f>
        <v>43282</v>
      </c>
      <c r="B44" cm="1">
        <f t="array" ref="B44">INDEX(AAPL_Data[],ROW()-6,2)</f>
        <v>45.944938659999998</v>
      </c>
      <c r="C44" s="21">
        <f t="shared" si="0"/>
        <v>4.3303767059384634E-3</v>
      </c>
      <c r="D44">
        <f>_xlfn.XLOOKUP(A44,GSPC_Data[Date],GSPC_Data[Close])</f>
        <v>281.33</v>
      </c>
      <c r="E44" s="21">
        <f t="shared" si="1"/>
        <v>3.7046593925095885E-2</v>
      </c>
      <c r="F44">
        <f>_xlfn.XLOOKUP(A44,MSFT_Data[Date],MSFT_Data[Close])</f>
        <v>106.08</v>
      </c>
      <c r="G44" s="21">
        <f t="shared" si="2"/>
        <v>7.5752966230605401E-2</v>
      </c>
    </row>
    <row r="45" spans="1:7" x14ac:dyDescent="0.25">
      <c r="A45" s="27" cm="1">
        <f t="array" ref="A45">INDEX(AAPL_Data[],ROW()-6,1)</f>
        <v>43313</v>
      </c>
      <c r="B45" cm="1">
        <f t="array" ref="B45">INDEX(AAPL_Data[],ROW()-6,2)</f>
        <v>53.870872499999997</v>
      </c>
      <c r="C45" s="21">
        <f t="shared" si="0"/>
        <v>0.17250940084289143</v>
      </c>
      <c r="D45">
        <f>_xlfn.XLOOKUP(A45,GSPC_Data[Date],GSPC_Data[Close])</f>
        <v>290.31</v>
      </c>
      <c r="E45" s="21">
        <f t="shared" si="1"/>
        <v>3.1919809476415664E-2</v>
      </c>
      <c r="F45">
        <f>_xlfn.XLOOKUP(A45,MSFT_Data[Date],MSFT_Data[Close])</f>
        <v>112.33</v>
      </c>
      <c r="G45" s="21">
        <f t="shared" si="2"/>
        <v>5.8917797888386123E-2</v>
      </c>
    </row>
    <row r="46" spans="1:7" x14ac:dyDescent="0.25">
      <c r="A46" s="27" cm="1">
        <f t="array" ref="A46">INDEX(AAPL_Data[],ROW()-6,1)</f>
        <v>43344</v>
      </c>
      <c r="B46" cm="1">
        <f t="array" ref="B46">INDEX(AAPL_Data[],ROW()-6,2)</f>
        <v>54.043632510000002</v>
      </c>
      <c r="C46" s="21">
        <f t="shared" si="0"/>
        <v>3.2069280110509557E-3</v>
      </c>
      <c r="D46">
        <f>_xlfn.XLOOKUP(A46,GSPC_Data[Date],GSPC_Data[Close])</f>
        <v>290.72000000000003</v>
      </c>
      <c r="E46" s="21">
        <f t="shared" si="1"/>
        <v>1.412283421170559E-3</v>
      </c>
      <c r="F46">
        <f>_xlfn.XLOOKUP(A46,MSFT_Data[Date],MSFT_Data[Close])</f>
        <v>114.37</v>
      </c>
      <c r="G46" s="21">
        <f t="shared" si="2"/>
        <v>1.8160776284162791E-2</v>
      </c>
    </row>
    <row r="47" spans="1:7" x14ac:dyDescent="0.25">
      <c r="A47" s="27" cm="1">
        <f t="array" ref="A47">INDEX(AAPL_Data[],ROW()-6,1)</f>
        <v>43374</v>
      </c>
      <c r="B47" cm="1">
        <f t="array" ref="B47">INDEX(AAPL_Data[],ROW()-6,2)</f>
        <v>54.921653749999997</v>
      </c>
      <c r="C47" s="21">
        <f t="shared" si="0"/>
        <v>1.6246525246753723E-2</v>
      </c>
      <c r="D47">
        <f>_xlfn.XLOOKUP(A47,GSPC_Data[Date],GSPC_Data[Close])</f>
        <v>270.63</v>
      </c>
      <c r="E47" s="21">
        <f t="shared" si="1"/>
        <v>-6.9104292790313812E-2</v>
      </c>
      <c r="F47">
        <f>_xlfn.XLOOKUP(A47,MSFT_Data[Date],MSFT_Data[Close])</f>
        <v>106.81</v>
      </c>
      <c r="G47" s="21">
        <f t="shared" si="2"/>
        <v>-6.6101250327883207E-2</v>
      </c>
    </row>
    <row r="48" spans="1:7" x14ac:dyDescent="0.25">
      <c r="A48" s="27" cm="1">
        <f t="array" ref="A48">INDEX(AAPL_Data[],ROW()-6,1)</f>
        <v>43405</v>
      </c>
      <c r="B48" cm="1">
        <f t="array" ref="B48">INDEX(AAPL_Data[],ROW()-6,2)</f>
        <v>52.590545650000003</v>
      </c>
      <c r="C48" s="21">
        <f t="shared" si="0"/>
        <v>-4.2444244498009029E-2</v>
      </c>
      <c r="D48">
        <f>_xlfn.XLOOKUP(A48,GSPC_Data[Date],GSPC_Data[Close])</f>
        <v>275.64999999999998</v>
      </c>
      <c r="E48" s="21">
        <f t="shared" si="1"/>
        <v>1.8549310867235644E-2</v>
      </c>
      <c r="F48">
        <f>_xlfn.XLOOKUP(A48,MSFT_Data[Date],MSFT_Data[Close])</f>
        <v>110.89</v>
      </c>
      <c r="G48" s="21">
        <f t="shared" si="2"/>
        <v>3.8198670536466604E-2</v>
      </c>
    </row>
    <row r="49" spans="1:7" x14ac:dyDescent="0.25">
      <c r="A49" s="27" cm="1">
        <f t="array" ref="A49">INDEX(AAPL_Data[],ROW()-6,1)</f>
        <v>43435</v>
      </c>
      <c r="B49" cm="1">
        <f t="array" ref="B49">INDEX(AAPL_Data[],ROW()-6,2)</f>
        <v>43.892086030000002</v>
      </c>
      <c r="C49" s="21">
        <f t="shared" si="0"/>
        <v>-0.16539968377376973</v>
      </c>
      <c r="D49">
        <f>_xlfn.XLOOKUP(A49,GSPC_Data[Date],GSPC_Data[Close])</f>
        <v>249.92</v>
      </c>
      <c r="E49" s="21">
        <f t="shared" si="1"/>
        <v>-9.3343007436967135E-2</v>
      </c>
      <c r="F49">
        <f>_xlfn.XLOOKUP(A49,MSFT_Data[Date],MSFT_Data[Close])</f>
        <v>101.57</v>
      </c>
      <c r="G49" s="21">
        <f t="shared" si="2"/>
        <v>-8.4047254035530775E-2</v>
      </c>
    </row>
    <row r="50" spans="1:7" x14ac:dyDescent="0.25">
      <c r="A50" s="27" cm="1">
        <f t="array" ref="A50">INDEX(AAPL_Data[],ROW()-6,1)</f>
        <v>43466</v>
      </c>
      <c r="B50" cm="1">
        <f t="array" ref="B50">INDEX(AAPL_Data[],ROW()-6,2)</f>
        <v>39.527107239999999</v>
      </c>
      <c r="C50" s="21">
        <f t="shared" si="0"/>
        <v>-9.9447968524817049E-2</v>
      </c>
      <c r="D50">
        <f>_xlfn.XLOOKUP(A50,GSPC_Data[Date],GSPC_Data[Close])</f>
        <v>269.93</v>
      </c>
      <c r="E50" s="21">
        <f t="shared" si="1"/>
        <v>8.0065620998719667E-2</v>
      </c>
      <c r="F50">
        <f>_xlfn.XLOOKUP(A50,MSFT_Data[Date],MSFT_Data[Close])</f>
        <v>104.43</v>
      </c>
      <c r="G50" s="21">
        <f t="shared" si="2"/>
        <v>2.8157920645860136E-2</v>
      </c>
    </row>
    <row r="51" spans="1:7" x14ac:dyDescent="0.25">
      <c r="A51" s="27" cm="1">
        <f t="array" ref="A51">INDEX(AAPL_Data[],ROW()-6,1)</f>
        <v>43497</v>
      </c>
      <c r="B51" cm="1">
        <f t="array" ref="B51">INDEX(AAPL_Data[],ROW()-6,2)</f>
        <v>41.707214360000002</v>
      </c>
      <c r="C51" s="21">
        <f t="shared" si="0"/>
        <v>5.5154734869993546E-2</v>
      </c>
      <c r="D51">
        <f>_xlfn.XLOOKUP(A51,GSPC_Data[Date],GSPC_Data[Close])</f>
        <v>278.68</v>
      </c>
      <c r="E51" s="21">
        <f t="shared" si="1"/>
        <v>3.2415811506686917E-2</v>
      </c>
      <c r="F51">
        <f>_xlfn.XLOOKUP(A51,MSFT_Data[Date],MSFT_Data[Close])</f>
        <v>112.03</v>
      </c>
      <c r="G51" s="21">
        <f t="shared" si="2"/>
        <v>7.2776022215838301E-2</v>
      </c>
    </row>
    <row r="52" spans="1:7" x14ac:dyDescent="0.25">
      <c r="A52" s="27" cm="1">
        <f t="array" ref="A52">INDEX(AAPL_Data[],ROW()-6,1)</f>
        <v>43525</v>
      </c>
      <c r="B52" cm="1">
        <f t="array" ref="B52">INDEX(AAPL_Data[],ROW()-6,2)</f>
        <v>46.529769899999998</v>
      </c>
      <c r="C52" s="21">
        <f t="shared" si="0"/>
        <v>0.11562880940389891</v>
      </c>
      <c r="D52">
        <f>_xlfn.XLOOKUP(A52,GSPC_Data[Date],GSPC_Data[Close])</f>
        <v>282.48</v>
      </c>
      <c r="E52" s="21">
        <f t="shared" si="1"/>
        <v>1.3635711209989992E-2</v>
      </c>
      <c r="F52">
        <f>_xlfn.XLOOKUP(A52,MSFT_Data[Date],MSFT_Data[Close])</f>
        <v>117.94</v>
      </c>
      <c r="G52" s="21">
        <f t="shared" si="2"/>
        <v>5.2753726680353448E-2</v>
      </c>
    </row>
    <row r="53" spans="1:7" x14ac:dyDescent="0.25">
      <c r="A53" s="27" cm="1">
        <f t="array" ref="A53">INDEX(AAPL_Data[],ROW()-6,1)</f>
        <v>43556</v>
      </c>
      <c r="B53" cm="1">
        <f t="array" ref="B53">INDEX(AAPL_Data[],ROW()-6,2)</f>
        <v>49.48483658</v>
      </c>
      <c r="C53" s="21">
        <f t="shared" si="0"/>
        <v>6.3509161690481555E-2</v>
      </c>
      <c r="D53">
        <f>_xlfn.XLOOKUP(A53,GSPC_Data[Date],GSPC_Data[Close])</f>
        <v>294.02</v>
      </c>
      <c r="E53" s="21">
        <f t="shared" si="1"/>
        <v>4.0852449730954275E-2</v>
      </c>
      <c r="F53">
        <f>_xlfn.XLOOKUP(A53,MSFT_Data[Date],MSFT_Data[Close])</f>
        <v>130.6</v>
      </c>
      <c r="G53" s="21">
        <f t="shared" si="2"/>
        <v>0.10734271663557739</v>
      </c>
    </row>
    <row r="54" spans="1:7" x14ac:dyDescent="0.25">
      <c r="A54" s="27" cm="1">
        <f t="array" ref="A54">INDEX(AAPL_Data[],ROW()-6,1)</f>
        <v>43586</v>
      </c>
      <c r="B54" cm="1">
        <f t="array" ref="B54">INDEX(AAPL_Data[],ROW()-6,2)</f>
        <v>50.503246310000002</v>
      </c>
      <c r="C54" s="21">
        <f t="shared" si="0"/>
        <v>2.0580238319138081E-2</v>
      </c>
      <c r="D54">
        <f>_xlfn.XLOOKUP(A54,GSPC_Data[Date],GSPC_Data[Close])</f>
        <v>275.27</v>
      </c>
      <c r="E54" s="21">
        <f t="shared" si="1"/>
        <v>-6.3771172029113671E-2</v>
      </c>
      <c r="F54">
        <f>_xlfn.XLOOKUP(A54,MSFT_Data[Date],MSFT_Data[Close])</f>
        <v>123.68</v>
      </c>
      <c r="G54" s="21">
        <f t="shared" si="2"/>
        <v>-5.2986217457886585E-2</v>
      </c>
    </row>
    <row r="55" spans="1:7" x14ac:dyDescent="0.25">
      <c r="A55" s="27" cm="1">
        <f t="array" ref="A55">INDEX(AAPL_Data[],ROW()-6,1)</f>
        <v>43617</v>
      </c>
      <c r="B55" cm="1">
        <f t="array" ref="B55">INDEX(AAPL_Data[],ROW()-6,2)</f>
        <v>47.836639400000003</v>
      </c>
      <c r="C55" s="21">
        <f t="shared" si="0"/>
        <v>-5.2800703020787626E-2</v>
      </c>
      <c r="D55">
        <f>_xlfn.XLOOKUP(A55,GSPC_Data[Date],GSPC_Data[Close])</f>
        <v>293</v>
      </c>
      <c r="E55" s="21">
        <f t="shared" si="1"/>
        <v>6.4409488865477607E-2</v>
      </c>
      <c r="F55">
        <f>_xlfn.XLOOKUP(A55,MSFT_Data[Date],MSFT_Data[Close])</f>
        <v>133.96</v>
      </c>
      <c r="G55" s="21">
        <f t="shared" si="2"/>
        <v>8.3117723156532999E-2</v>
      </c>
    </row>
    <row r="56" spans="1:7" x14ac:dyDescent="0.25">
      <c r="A56" s="27" cm="1">
        <f t="array" ref="A56">INDEX(AAPL_Data[],ROW()-6,1)</f>
        <v>43647</v>
      </c>
      <c r="B56" cm="1">
        <f t="array" ref="B56">INDEX(AAPL_Data[],ROW()-6,2)</f>
        <v>51.006584169999996</v>
      </c>
      <c r="C56" s="21">
        <f t="shared" si="0"/>
        <v>6.6266042300621844E-2</v>
      </c>
      <c r="D56">
        <f>_xlfn.XLOOKUP(A56,GSPC_Data[Date],GSPC_Data[Close])</f>
        <v>297.43</v>
      </c>
      <c r="E56" s="21">
        <f t="shared" si="1"/>
        <v>1.5119453924914698E-2</v>
      </c>
      <c r="F56">
        <f>_xlfn.XLOOKUP(A56,MSFT_Data[Date],MSFT_Data[Close])</f>
        <v>136.27000000000001</v>
      </c>
      <c r="G56" s="21">
        <f t="shared" si="2"/>
        <v>1.7243953418931039E-2</v>
      </c>
    </row>
    <row r="57" spans="1:7" x14ac:dyDescent="0.25">
      <c r="A57" s="27" cm="1">
        <f t="array" ref="A57">INDEX(AAPL_Data[],ROW()-6,1)</f>
        <v>43678</v>
      </c>
      <c r="B57" cm="1">
        <f t="array" ref="B57">INDEX(AAPL_Data[],ROW()-6,2)</f>
        <v>51.104248050000002</v>
      </c>
      <c r="C57" s="21">
        <f t="shared" si="0"/>
        <v>1.9147308448356744E-3</v>
      </c>
      <c r="D57">
        <f>_xlfn.XLOOKUP(A57,GSPC_Data[Date],GSPC_Data[Close])</f>
        <v>292.45</v>
      </c>
      <c r="E57" s="21">
        <f t="shared" si="1"/>
        <v>-1.6743435430185315E-2</v>
      </c>
      <c r="F57">
        <f>_xlfn.XLOOKUP(A57,MSFT_Data[Date],MSFT_Data[Close])</f>
        <v>137.86000000000001</v>
      </c>
      <c r="G57" s="21">
        <f t="shared" si="2"/>
        <v>1.1668012034930677E-2</v>
      </c>
    </row>
    <row r="58" spans="1:7" x14ac:dyDescent="0.25">
      <c r="A58" s="27" cm="1">
        <f t="array" ref="A58">INDEX(AAPL_Data[],ROW()-6,1)</f>
        <v>43709</v>
      </c>
      <c r="B58" cm="1">
        <f t="array" ref="B58">INDEX(AAPL_Data[],ROW()-6,2)</f>
        <v>53.827213290000003</v>
      </c>
      <c r="C58" s="21">
        <f t="shared" si="0"/>
        <v>5.3282561507134833E-2</v>
      </c>
      <c r="D58">
        <f>_xlfn.XLOOKUP(A58,GSPC_Data[Date],GSPC_Data[Close])</f>
        <v>296.77</v>
      </c>
      <c r="E58" s="21">
        <f t="shared" si="1"/>
        <v>1.4771755855701807E-2</v>
      </c>
      <c r="F58">
        <f>_xlfn.XLOOKUP(A58,MSFT_Data[Date],MSFT_Data[Close])</f>
        <v>139.03</v>
      </c>
      <c r="G58" s="21">
        <f t="shared" si="2"/>
        <v>8.4868707384301995E-3</v>
      </c>
    </row>
    <row r="59" spans="1:7" x14ac:dyDescent="0.25">
      <c r="A59" s="27" cm="1">
        <f t="array" ref="A59">INDEX(AAPL_Data[],ROW()-6,1)</f>
        <v>43739</v>
      </c>
      <c r="B59" cm="1">
        <f t="array" ref="B59">INDEX(AAPL_Data[],ROW()-6,2)</f>
        <v>59.854759219999998</v>
      </c>
      <c r="C59" s="21">
        <f t="shared" si="0"/>
        <v>0.11197952785565791</v>
      </c>
      <c r="D59">
        <f>_xlfn.XLOOKUP(A59,GSPC_Data[Date],GSPC_Data[Close])</f>
        <v>303.33</v>
      </c>
      <c r="E59" s="21">
        <f t="shared" si="1"/>
        <v>2.2104660174545952E-2</v>
      </c>
      <c r="F59">
        <f>_xlfn.XLOOKUP(A59,MSFT_Data[Date],MSFT_Data[Close])</f>
        <v>143.37</v>
      </c>
      <c r="G59" s="21">
        <f t="shared" si="2"/>
        <v>3.1216284255196746E-2</v>
      </c>
    </row>
    <row r="60" spans="1:7" x14ac:dyDescent="0.25">
      <c r="A60" s="27" cm="1">
        <f t="array" ref="A60">INDEX(AAPL_Data[],ROW()-6,1)</f>
        <v>43770</v>
      </c>
      <c r="B60" cm="1">
        <f t="array" ref="B60">INDEX(AAPL_Data[],ROW()-6,2)</f>
        <v>64.563865660000005</v>
      </c>
      <c r="C60" s="21">
        <f t="shared" si="0"/>
        <v>7.867555565116191E-2</v>
      </c>
      <c r="D60">
        <f>_xlfn.XLOOKUP(A60,GSPC_Data[Date],GSPC_Data[Close])</f>
        <v>314.31</v>
      </c>
      <c r="E60" s="21">
        <f t="shared" si="1"/>
        <v>3.6198199980219628E-2</v>
      </c>
      <c r="F60">
        <f>_xlfn.XLOOKUP(A60,MSFT_Data[Date],MSFT_Data[Close])</f>
        <v>151.38</v>
      </c>
      <c r="G60" s="21">
        <f t="shared" si="2"/>
        <v>5.5869428750784621E-2</v>
      </c>
    </row>
    <row r="61" spans="1:7" x14ac:dyDescent="0.25">
      <c r="A61" s="27" cm="1">
        <f t="array" ref="A61">INDEX(AAPL_Data[],ROW()-6,1)</f>
        <v>43800</v>
      </c>
      <c r="B61" cm="1">
        <f t="array" ref="B61">INDEX(AAPL_Data[],ROW()-6,2)</f>
        <v>70.78544617</v>
      </c>
      <c r="C61" s="21">
        <f t="shared" si="0"/>
        <v>9.6363197066970593E-2</v>
      </c>
      <c r="D61">
        <f>_xlfn.XLOOKUP(A61,GSPC_Data[Date],GSPC_Data[Close])</f>
        <v>321.86</v>
      </c>
      <c r="E61" s="21">
        <f t="shared" si="1"/>
        <v>2.4020871114504825E-2</v>
      </c>
      <c r="F61">
        <f>_xlfn.XLOOKUP(A61,MSFT_Data[Date],MSFT_Data[Close])</f>
        <v>157.69999999999999</v>
      </c>
      <c r="G61" s="21">
        <f t="shared" si="2"/>
        <v>4.1749240322367508E-2</v>
      </c>
    </row>
    <row r="62" spans="1:7" x14ac:dyDescent="0.25">
      <c r="A62" s="27" cm="1">
        <f t="array" ref="A62">INDEX(AAPL_Data[],ROW()-6,1)</f>
        <v>43831</v>
      </c>
      <c r="B62" cm="1">
        <f t="array" ref="B62">INDEX(AAPL_Data[],ROW()-6,2)</f>
        <v>78.183418270000004</v>
      </c>
      <c r="C62" s="21">
        <f t="shared" si="0"/>
        <v>0.10451261523778291</v>
      </c>
      <c r="D62">
        <f>_xlfn.XLOOKUP(A62,GSPC_Data[Date],GSPC_Data[Close])</f>
        <v>321.73</v>
      </c>
      <c r="E62" s="21">
        <f t="shared" si="1"/>
        <v>-4.0390231777790174E-4</v>
      </c>
      <c r="F62">
        <f>_xlfn.XLOOKUP(A62,MSFT_Data[Date],MSFT_Data[Close])</f>
        <v>170.23</v>
      </c>
      <c r="G62" s="21">
        <f t="shared" si="2"/>
        <v>7.945466074825619E-2</v>
      </c>
    </row>
    <row r="63" spans="1:7" x14ac:dyDescent="0.25">
      <c r="A63" s="27" cm="1">
        <f t="array" ref="A63">INDEX(AAPL_Data[],ROW()-6,1)</f>
        <v>43862</v>
      </c>
      <c r="B63" cm="1">
        <f t="array" ref="B63">INDEX(AAPL_Data[],ROW()-6,2)</f>
        <v>79.059997559999999</v>
      </c>
      <c r="C63" s="21">
        <f t="shared" si="0"/>
        <v>1.1211831221970886E-2</v>
      </c>
      <c r="D63">
        <f>_xlfn.XLOOKUP(A63,GSPC_Data[Date],GSPC_Data[Close])</f>
        <v>296.26</v>
      </c>
      <c r="E63" s="21">
        <f t="shared" si="1"/>
        <v>-7.9165760109408595E-2</v>
      </c>
      <c r="F63">
        <f>_xlfn.XLOOKUP(A63,MSFT_Data[Date],MSFT_Data[Close])</f>
        <v>162.01</v>
      </c>
      <c r="G63" s="21">
        <f t="shared" si="2"/>
        <v>-4.8287610879398458E-2</v>
      </c>
    </row>
    <row r="64" spans="1:7" x14ac:dyDescent="0.25">
      <c r="A64" s="27" cm="1">
        <f t="array" ref="A64">INDEX(AAPL_Data[],ROW()-6,1)</f>
        <v>43891</v>
      </c>
      <c r="B64" cm="1">
        <f t="array" ref="B64">INDEX(AAPL_Data[],ROW()-6,2)</f>
        <v>73.14983368</v>
      </c>
      <c r="C64" s="21">
        <f t="shared" si="0"/>
        <v>-7.4755427047852777E-2</v>
      </c>
      <c r="D64">
        <f>_xlfn.XLOOKUP(A64,GSPC_Data[Date],GSPC_Data[Close])</f>
        <v>257.75</v>
      </c>
      <c r="E64" s="21">
        <f t="shared" si="1"/>
        <v>-0.129987173428745</v>
      </c>
      <c r="F64">
        <f>_xlfn.XLOOKUP(A64,MSFT_Data[Date],MSFT_Data[Close])</f>
        <v>157.71</v>
      </c>
      <c r="G64" s="21">
        <f t="shared" si="2"/>
        <v>-2.6541571507931506E-2</v>
      </c>
    </row>
    <row r="65" spans="1:7" x14ac:dyDescent="0.25">
      <c r="A65" s="27" cm="1">
        <f t="array" ref="A65">INDEX(AAPL_Data[],ROW()-6,1)</f>
        <v>43922</v>
      </c>
      <c r="B65" cm="1">
        <f t="array" ref="B65">INDEX(AAPL_Data[],ROW()-6,2)</f>
        <v>70.98967743</v>
      </c>
      <c r="C65" s="21">
        <f t="shared" ref="C65:C128" si="3">(B65-B64)/B64</f>
        <v>-2.9530569535534179E-2</v>
      </c>
      <c r="D65">
        <f>_xlfn.XLOOKUP(A65,GSPC_Data[Date],GSPC_Data[Close])</f>
        <v>290.48</v>
      </c>
      <c r="E65" s="21">
        <f t="shared" ref="E65:E128" si="4">(D65-D64)/D64</f>
        <v>0.12698351115421927</v>
      </c>
      <c r="F65">
        <f>_xlfn.XLOOKUP(A65,MSFT_Data[Date],MSFT_Data[Close])</f>
        <v>179.21</v>
      </c>
      <c r="G65" s="21">
        <f t="shared" ref="G65:G128" si="5">(F65-F64)/F64</f>
        <v>0.13632616828355842</v>
      </c>
    </row>
    <row r="66" spans="1:7" x14ac:dyDescent="0.25">
      <c r="A66" s="27" cm="1">
        <f t="array" ref="A66">INDEX(AAPL_Data[],ROW()-6,1)</f>
        <v>43952</v>
      </c>
      <c r="B66" cm="1">
        <f t="array" ref="B66">INDEX(AAPL_Data[],ROW()-6,2)</f>
        <v>77.343040470000005</v>
      </c>
      <c r="C66" s="21">
        <f t="shared" si="3"/>
        <v>8.9496998296193064E-2</v>
      </c>
      <c r="D66">
        <f>_xlfn.XLOOKUP(A66,GSPC_Data[Date],GSPC_Data[Close])</f>
        <v>304.32</v>
      </c>
      <c r="E66" s="21">
        <f t="shared" si="4"/>
        <v>4.7645276783255211E-2</v>
      </c>
      <c r="F66">
        <f>_xlfn.XLOOKUP(A66,MSFT_Data[Date],MSFT_Data[Close])</f>
        <v>183.25</v>
      </c>
      <c r="G66" s="21">
        <f t="shared" si="5"/>
        <v>2.2543384855755771E-2</v>
      </c>
    </row>
    <row r="67" spans="1:7" x14ac:dyDescent="0.25">
      <c r="A67" s="27" cm="1">
        <f t="array" ref="A67">INDEX(AAPL_Data[],ROW()-6,1)</f>
        <v>43983</v>
      </c>
      <c r="B67" cm="1">
        <f t="array" ref="B67">INDEX(AAPL_Data[],ROW()-6,2)</f>
        <v>88.802894589999994</v>
      </c>
      <c r="C67" s="21">
        <f t="shared" si="3"/>
        <v>0.14816917010710309</v>
      </c>
      <c r="D67">
        <f>_xlfn.XLOOKUP(A67,GSPC_Data[Date],GSPC_Data[Close])</f>
        <v>308.36</v>
      </c>
      <c r="E67" s="21">
        <f t="shared" si="4"/>
        <v>1.3275499474237713E-2</v>
      </c>
      <c r="F67">
        <f>_xlfn.XLOOKUP(A67,MSFT_Data[Date],MSFT_Data[Close])</f>
        <v>203.51</v>
      </c>
      <c r="G67" s="21">
        <f t="shared" si="5"/>
        <v>0.11055934515688945</v>
      </c>
    </row>
    <row r="68" spans="1:7" x14ac:dyDescent="0.25">
      <c r="A68" s="27" cm="1">
        <f t="array" ref="A68">INDEX(AAPL_Data[],ROW()-6,1)</f>
        <v>44013</v>
      </c>
      <c r="B68" cm="1">
        <f t="array" ref="B68">INDEX(AAPL_Data[],ROW()-6,2)</f>
        <v>102.9786835</v>
      </c>
      <c r="C68" s="21">
        <f t="shared" si="3"/>
        <v>0.15963205901619709</v>
      </c>
      <c r="D68">
        <f>_xlfn.XLOOKUP(A68,GSPC_Data[Date],GSPC_Data[Close])</f>
        <v>326.52</v>
      </c>
      <c r="E68" s="21">
        <f t="shared" si="4"/>
        <v>5.8892203917498921E-2</v>
      </c>
      <c r="F68">
        <f>_xlfn.XLOOKUP(A68,MSFT_Data[Date],MSFT_Data[Close])</f>
        <v>205.01</v>
      </c>
      <c r="G68" s="21">
        <f t="shared" si="5"/>
        <v>7.3706451771411727E-3</v>
      </c>
    </row>
    <row r="69" spans="1:7" x14ac:dyDescent="0.25">
      <c r="A69" s="27" cm="1">
        <f t="array" ref="A69">INDEX(AAPL_Data[],ROW()-6,1)</f>
        <v>44044</v>
      </c>
      <c r="B69" cm="1">
        <f t="array" ref="B69">INDEX(AAPL_Data[],ROW()-6,2)</f>
        <v>125.2807083</v>
      </c>
      <c r="C69" s="21">
        <f t="shared" si="3"/>
        <v>0.21656933301152562</v>
      </c>
      <c r="D69">
        <f>_xlfn.XLOOKUP(A69,GSPC_Data[Date],GSPC_Data[Close])</f>
        <v>349.31</v>
      </c>
      <c r="E69" s="21">
        <f t="shared" si="4"/>
        <v>6.9796643390910268E-2</v>
      </c>
      <c r="F69">
        <f>_xlfn.XLOOKUP(A69,MSFT_Data[Date],MSFT_Data[Close])</f>
        <v>225.53</v>
      </c>
      <c r="G69" s="21">
        <f t="shared" si="5"/>
        <v>0.10009267840593147</v>
      </c>
    </row>
    <row r="70" spans="1:7" x14ac:dyDescent="0.25">
      <c r="A70" s="27" cm="1">
        <f t="array" ref="A70">INDEX(AAPL_Data[],ROW()-6,1)</f>
        <v>44075</v>
      </c>
      <c r="B70" cm="1">
        <f t="array" ref="B70">INDEX(AAPL_Data[],ROW()-6,2)</f>
        <v>130.27095030000001</v>
      </c>
      <c r="C70" s="21">
        <f t="shared" si="3"/>
        <v>3.9832485525626689E-2</v>
      </c>
      <c r="D70">
        <f>_xlfn.XLOOKUP(A70,GSPC_Data[Date],GSPC_Data[Close])</f>
        <v>334.89</v>
      </c>
      <c r="E70" s="21">
        <f t="shared" si="4"/>
        <v>-4.1281383298502811E-2</v>
      </c>
      <c r="F70">
        <f>_xlfn.XLOOKUP(A70,MSFT_Data[Date],MSFT_Data[Close])</f>
        <v>210.33</v>
      </c>
      <c r="G70" s="21">
        <f t="shared" si="5"/>
        <v>-6.739679865206398E-2</v>
      </c>
    </row>
    <row r="71" spans="1:7" x14ac:dyDescent="0.25">
      <c r="A71" s="27" cm="1">
        <f t="array" ref="A71">INDEX(AAPL_Data[],ROW()-6,1)</f>
        <v>44105</v>
      </c>
      <c r="B71" cm="1">
        <f t="array" ref="B71">INDEX(AAPL_Data[],ROW()-6,2)</f>
        <v>120.7758942</v>
      </c>
      <c r="C71" s="21">
        <f t="shared" si="3"/>
        <v>-7.2886979623115661E-2</v>
      </c>
      <c r="D71">
        <f>_xlfn.XLOOKUP(A71,GSPC_Data[Date],GSPC_Data[Close])</f>
        <v>326.54000000000002</v>
      </c>
      <c r="E71" s="21">
        <f t="shared" si="4"/>
        <v>-2.4933560273522549E-2</v>
      </c>
      <c r="F71">
        <f>_xlfn.XLOOKUP(A71,MSFT_Data[Date],MSFT_Data[Close])</f>
        <v>202.47</v>
      </c>
      <c r="G71" s="21">
        <f t="shared" si="5"/>
        <v>-3.7369847382684417E-2</v>
      </c>
    </row>
    <row r="72" spans="1:7" x14ac:dyDescent="0.25">
      <c r="A72" s="27" cm="1">
        <f t="array" ref="A72">INDEX(AAPL_Data[],ROW()-6,1)</f>
        <v>44136</v>
      </c>
      <c r="B72" cm="1">
        <f t="array" ref="B72">INDEX(AAPL_Data[],ROW()-6,2)</f>
        <v>116.99684139999999</v>
      </c>
      <c r="C72" s="21">
        <f t="shared" si="3"/>
        <v>-3.128979358862824E-2</v>
      </c>
      <c r="D72">
        <f>_xlfn.XLOOKUP(A72,GSPC_Data[Date],GSPC_Data[Close])</f>
        <v>362.06</v>
      </c>
      <c r="E72" s="21">
        <f t="shared" si="4"/>
        <v>0.10877687266491082</v>
      </c>
      <c r="F72">
        <f>_xlfn.XLOOKUP(A72,MSFT_Data[Date],MSFT_Data[Close])</f>
        <v>214.07</v>
      </c>
      <c r="G72" s="21">
        <f t="shared" si="5"/>
        <v>5.7292438385933689E-2</v>
      </c>
    </row>
    <row r="73" spans="1:7" x14ac:dyDescent="0.25">
      <c r="A73" s="27" cm="1">
        <f t="array" ref="A73">INDEX(AAPL_Data[],ROW()-6,1)</f>
        <v>44166</v>
      </c>
      <c r="B73" cm="1">
        <f t="array" ref="B73">INDEX(AAPL_Data[],ROW()-6,2)</f>
        <v>132.93681340000001</v>
      </c>
      <c r="C73" s="21">
        <f t="shared" si="3"/>
        <v>0.13624275501167515</v>
      </c>
      <c r="D73">
        <f>_xlfn.XLOOKUP(A73,GSPC_Data[Date],GSPC_Data[Close])</f>
        <v>373.88</v>
      </c>
      <c r="E73" s="21">
        <f t="shared" si="4"/>
        <v>3.2646522675799573E-2</v>
      </c>
      <c r="F73">
        <f>_xlfn.XLOOKUP(A73,MSFT_Data[Date],MSFT_Data[Close])</f>
        <v>222.42</v>
      </c>
      <c r="G73" s="21">
        <f t="shared" si="5"/>
        <v>3.9005932638856426E-2</v>
      </c>
    </row>
    <row r="74" spans="1:7" x14ac:dyDescent="0.25">
      <c r="A74" s="27" cm="1">
        <f t="array" ref="A74">INDEX(AAPL_Data[],ROW()-6,1)</f>
        <v>44197</v>
      </c>
      <c r="B74" cm="1">
        <f t="array" ref="B74">INDEX(AAPL_Data[],ROW()-6,2)</f>
        <v>139.22914119999999</v>
      </c>
      <c r="C74" s="21">
        <f t="shared" si="3"/>
        <v>4.733322274746192E-2</v>
      </c>
      <c r="D74">
        <f>_xlfn.XLOOKUP(A74,GSPC_Data[Date],GSPC_Data[Close])</f>
        <v>370.07</v>
      </c>
      <c r="E74" s="21">
        <f t="shared" si="4"/>
        <v>-1.0190435433829042E-2</v>
      </c>
      <c r="F74">
        <f>_xlfn.XLOOKUP(A74,MSFT_Data[Date],MSFT_Data[Close])</f>
        <v>231.96</v>
      </c>
      <c r="G74" s="21">
        <f t="shared" si="5"/>
        <v>4.2891826274615685E-2</v>
      </c>
    </row>
    <row r="75" spans="1:7" x14ac:dyDescent="0.25">
      <c r="A75" s="27" cm="1">
        <f t="array" ref="A75">INDEX(AAPL_Data[],ROW()-6,1)</f>
        <v>44228</v>
      </c>
      <c r="B75" cm="1">
        <f t="array" ref="B75">INDEX(AAPL_Data[],ROW()-6,2)</f>
        <v>133.61758420000001</v>
      </c>
      <c r="C75" s="21">
        <f t="shared" si="3"/>
        <v>-4.0304471834233919E-2</v>
      </c>
      <c r="D75">
        <f>_xlfn.XLOOKUP(A75,GSPC_Data[Date],GSPC_Data[Close])</f>
        <v>380.36</v>
      </c>
      <c r="E75" s="21">
        <f t="shared" si="4"/>
        <v>2.7805550301294404E-2</v>
      </c>
      <c r="F75">
        <f>_xlfn.XLOOKUP(A75,MSFT_Data[Date],MSFT_Data[Close])</f>
        <v>232.38</v>
      </c>
      <c r="G75" s="21">
        <f t="shared" si="5"/>
        <v>1.8106570098292269E-3</v>
      </c>
    </row>
    <row r="76" spans="1:7" x14ac:dyDescent="0.25">
      <c r="A76" s="27" cm="1">
        <f t="array" ref="A76">INDEX(AAPL_Data[],ROW()-6,1)</f>
        <v>44256</v>
      </c>
      <c r="B76" cm="1">
        <f t="array" ref="B76">INDEX(AAPL_Data[],ROW()-6,2)</f>
        <v>124.4668884</v>
      </c>
      <c r="C76" s="21">
        <f t="shared" si="3"/>
        <v>-6.8484218262045246E-2</v>
      </c>
      <c r="D76">
        <f>_xlfn.XLOOKUP(A76,GSPC_Data[Date],GSPC_Data[Close])</f>
        <v>396.33</v>
      </c>
      <c r="E76" s="21">
        <f t="shared" si="4"/>
        <v>4.1986539068251054E-2</v>
      </c>
      <c r="F76">
        <f>_xlfn.XLOOKUP(A76,MSFT_Data[Date],MSFT_Data[Close])</f>
        <v>235.77</v>
      </c>
      <c r="G76" s="21">
        <f t="shared" si="5"/>
        <v>1.4588174541699006E-2</v>
      </c>
    </row>
    <row r="77" spans="1:7" x14ac:dyDescent="0.25">
      <c r="A77" s="27" cm="1">
        <f t="array" ref="A77">INDEX(AAPL_Data[],ROW()-6,1)</f>
        <v>44287</v>
      </c>
      <c r="B77" cm="1">
        <f t="array" ref="B77">INDEX(AAPL_Data[],ROW()-6,2)</f>
        <v>131.3335419</v>
      </c>
      <c r="C77" s="21">
        <f t="shared" si="3"/>
        <v>5.5168515805847029E-2</v>
      </c>
      <c r="D77">
        <f>_xlfn.XLOOKUP(A77,GSPC_Data[Date],GSPC_Data[Close])</f>
        <v>417.3</v>
      </c>
      <c r="E77" s="21">
        <f t="shared" si="4"/>
        <v>5.291045341003716E-2</v>
      </c>
      <c r="F77">
        <f>_xlfn.XLOOKUP(A77,MSFT_Data[Date],MSFT_Data[Close])</f>
        <v>252.18</v>
      </c>
      <c r="G77" s="21">
        <f t="shared" si="5"/>
        <v>6.9601730500063602E-2</v>
      </c>
    </row>
    <row r="78" spans="1:7" x14ac:dyDescent="0.25">
      <c r="A78" s="27" cm="1">
        <f t="array" ref="A78">INDEX(AAPL_Data[],ROW()-6,1)</f>
        <v>44317</v>
      </c>
      <c r="B78" cm="1">
        <f t="array" ref="B78">INDEX(AAPL_Data[],ROW()-6,2)</f>
        <v>129.0933838</v>
      </c>
      <c r="C78" s="21">
        <f t="shared" si="3"/>
        <v>-1.7057014282807537E-2</v>
      </c>
      <c r="D78">
        <f>_xlfn.XLOOKUP(A78,GSPC_Data[Date],GSPC_Data[Close])</f>
        <v>420.04</v>
      </c>
      <c r="E78" s="21">
        <f t="shared" si="4"/>
        <v>6.566019650131821E-3</v>
      </c>
      <c r="F78">
        <f>_xlfn.XLOOKUP(A78,MSFT_Data[Date],MSFT_Data[Close])</f>
        <v>249.68</v>
      </c>
      <c r="G78" s="21">
        <f t="shared" si="5"/>
        <v>-9.913553810770085E-3</v>
      </c>
    </row>
    <row r="79" spans="1:7" x14ac:dyDescent="0.25">
      <c r="A79" s="27" cm="1">
        <f t="array" ref="A79">INDEX(AAPL_Data[],ROW()-6,1)</f>
        <v>44348</v>
      </c>
      <c r="B79" cm="1">
        <f t="array" ref="B79">INDEX(AAPL_Data[],ROW()-6,2)</f>
        <v>133.6250153</v>
      </c>
      <c r="C79" s="21">
        <f t="shared" si="3"/>
        <v>3.5103514731790637E-2</v>
      </c>
      <c r="D79">
        <f>_xlfn.XLOOKUP(A79,GSPC_Data[Date],GSPC_Data[Close])</f>
        <v>428.06</v>
      </c>
      <c r="E79" s="21">
        <f t="shared" si="4"/>
        <v>1.9093419674316686E-2</v>
      </c>
      <c r="F79">
        <f>_xlfn.XLOOKUP(A79,MSFT_Data[Date],MSFT_Data[Close])</f>
        <v>270.89999999999998</v>
      </c>
      <c r="G79" s="21">
        <f t="shared" si="5"/>
        <v>8.4988785645626286E-2</v>
      </c>
    </row>
    <row r="80" spans="1:7" x14ac:dyDescent="0.25">
      <c r="A80" s="27" cm="1">
        <f t="array" ref="A80">INDEX(AAPL_Data[],ROW()-6,1)</f>
        <v>44378</v>
      </c>
      <c r="B80" cm="1">
        <f t="array" ref="B80">INDEX(AAPL_Data[],ROW()-6,2)</f>
        <v>145.51817320000001</v>
      </c>
      <c r="C80" s="21">
        <f t="shared" si="3"/>
        <v>8.9003977835278913E-2</v>
      </c>
      <c r="D80">
        <f>_xlfn.XLOOKUP(A80,GSPC_Data[Date],GSPC_Data[Close])</f>
        <v>438.51</v>
      </c>
      <c r="E80" s="21">
        <f t="shared" si="4"/>
        <v>2.4412465542213681E-2</v>
      </c>
      <c r="F80">
        <f>_xlfn.XLOOKUP(A80,MSFT_Data[Date],MSFT_Data[Close])</f>
        <v>284.91000000000003</v>
      </c>
      <c r="G80" s="21">
        <f t="shared" si="5"/>
        <v>5.1716500553710035E-2</v>
      </c>
    </row>
    <row r="81" spans="1:7" x14ac:dyDescent="0.25">
      <c r="A81" s="27" cm="1">
        <f t="array" ref="A81">INDEX(AAPL_Data[],ROW()-6,1)</f>
        <v>44409</v>
      </c>
      <c r="B81" cm="1">
        <f t="array" ref="B81">INDEX(AAPL_Data[],ROW()-6,2)</f>
        <v>149.61532589999999</v>
      </c>
      <c r="C81" s="21">
        <f t="shared" si="3"/>
        <v>2.8155608402043772E-2</v>
      </c>
      <c r="D81">
        <f>_xlfn.XLOOKUP(A81,GSPC_Data[Date],GSPC_Data[Close])</f>
        <v>451.56</v>
      </c>
      <c r="E81" s="21">
        <f t="shared" si="4"/>
        <v>2.9759868646097035E-2</v>
      </c>
      <c r="F81">
        <f>_xlfn.XLOOKUP(A81,MSFT_Data[Date],MSFT_Data[Close])</f>
        <v>301.88</v>
      </c>
      <c r="G81" s="21">
        <f t="shared" si="5"/>
        <v>5.9562668912989961E-2</v>
      </c>
    </row>
    <row r="82" spans="1:7" x14ac:dyDescent="0.25">
      <c r="A82" s="27" cm="1">
        <f t="array" ref="A82">INDEX(AAPL_Data[],ROW()-6,1)</f>
        <v>44440</v>
      </c>
      <c r="B82" cm="1">
        <f t="array" ref="B82">INDEX(AAPL_Data[],ROW()-6,2)</f>
        <v>153.10363770000001</v>
      </c>
      <c r="C82" s="21">
        <f t="shared" si="3"/>
        <v>2.3315203699997553E-2</v>
      </c>
      <c r="D82">
        <f>_xlfn.XLOOKUP(A82,GSPC_Data[Date],GSPC_Data[Close])</f>
        <v>429.14</v>
      </c>
      <c r="E82" s="21">
        <f t="shared" si="4"/>
        <v>-4.9650101869076126E-2</v>
      </c>
      <c r="F82">
        <f>_xlfn.XLOOKUP(A82,MSFT_Data[Date],MSFT_Data[Close])</f>
        <v>281.92</v>
      </c>
      <c r="G82" s="21">
        <f t="shared" si="5"/>
        <v>-6.6118987677222671E-2</v>
      </c>
    </row>
    <row r="83" spans="1:7" x14ac:dyDescent="0.25">
      <c r="A83" s="27" cm="1">
        <f t="array" ref="A83">INDEX(AAPL_Data[],ROW()-6,1)</f>
        <v>44470</v>
      </c>
      <c r="B83" cm="1">
        <f t="array" ref="B83">INDEX(AAPL_Data[],ROW()-6,2)</f>
        <v>149.07794190000001</v>
      </c>
      <c r="C83" s="21">
        <f t="shared" si="3"/>
        <v>-2.629392652242641E-2</v>
      </c>
      <c r="D83">
        <f>_xlfn.XLOOKUP(A83,GSPC_Data[Date],GSPC_Data[Close])</f>
        <v>459.25</v>
      </c>
      <c r="E83" s="21">
        <f t="shared" si="4"/>
        <v>7.0163582979913347E-2</v>
      </c>
      <c r="F83">
        <f>_xlfn.XLOOKUP(A83,MSFT_Data[Date],MSFT_Data[Close])</f>
        <v>331.62</v>
      </c>
      <c r="G83" s="21">
        <f t="shared" si="5"/>
        <v>0.17629114642451754</v>
      </c>
    </row>
    <row r="84" spans="1:7" x14ac:dyDescent="0.25">
      <c r="A84" s="27" cm="1">
        <f t="array" ref="A84">INDEX(AAPL_Data[],ROW()-6,1)</f>
        <v>44501</v>
      </c>
      <c r="B84" cm="1">
        <f t="array" ref="B84">INDEX(AAPL_Data[],ROW()-6,2)</f>
        <v>161.7523041</v>
      </c>
      <c r="C84" s="21">
        <f t="shared" si="3"/>
        <v>8.5018360452694106E-2</v>
      </c>
      <c r="D84">
        <f>_xlfn.XLOOKUP(A84,GSPC_Data[Date],GSPC_Data[Close])</f>
        <v>455.56</v>
      </c>
      <c r="E84" s="21">
        <f t="shared" si="4"/>
        <v>-8.0348394120849168E-3</v>
      </c>
      <c r="F84">
        <f>_xlfn.XLOOKUP(A84,MSFT_Data[Date],MSFT_Data[Close])</f>
        <v>330.59</v>
      </c>
      <c r="G84" s="21">
        <f t="shared" si="5"/>
        <v>-3.1059646583439767E-3</v>
      </c>
    </row>
    <row r="85" spans="1:7" x14ac:dyDescent="0.25">
      <c r="A85" s="27" cm="1">
        <f t="array" ref="A85">INDEX(AAPL_Data[],ROW()-6,1)</f>
        <v>44531</v>
      </c>
      <c r="B85" cm="1">
        <f t="array" ref="B85">INDEX(AAPL_Data[],ROW()-6,2)</f>
        <v>176.4597473</v>
      </c>
      <c r="C85" s="21">
        <f t="shared" si="3"/>
        <v>9.0925710652674407E-2</v>
      </c>
      <c r="D85">
        <f>_xlfn.XLOOKUP(A85,GSPC_Data[Date],GSPC_Data[Close])</f>
        <v>474.96</v>
      </c>
      <c r="E85" s="21">
        <f t="shared" si="4"/>
        <v>4.2584950390727842E-2</v>
      </c>
      <c r="F85">
        <f>_xlfn.XLOOKUP(A85,MSFT_Data[Date],MSFT_Data[Close])</f>
        <v>336.32</v>
      </c>
      <c r="G85" s="21">
        <f t="shared" si="5"/>
        <v>1.7332647690492812E-2</v>
      </c>
    </row>
    <row r="86" spans="1:7" x14ac:dyDescent="0.25">
      <c r="A86" s="27" cm="1">
        <f t="array" ref="A86">INDEX(AAPL_Data[],ROW()-6,1)</f>
        <v>44562</v>
      </c>
      <c r="B86" cm="1">
        <f t="array" ref="B86">INDEX(AAPL_Data[],ROW()-6,2)</f>
        <v>178.10363770000001</v>
      </c>
      <c r="C86" s="21">
        <f t="shared" si="3"/>
        <v>9.3159512305388166E-3</v>
      </c>
      <c r="D86">
        <f>_xlfn.XLOOKUP(A86,GSPC_Data[Date],GSPC_Data[Close])</f>
        <v>449.91</v>
      </c>
      <c r="E86" s="21">
        <f t="shared" si="4"/>
        <v>-5.2741283476503191E-2</v>
      </c>
      <c r="F86">
        <f>_xlfn.XLOOKUP(A86,MSFT_Data[Date],MSFT_Data[Close])</f>
        <v>310.98</v>
      </c>
      <c r="G86" s="21">
        <f t="shared" si="5"/>
        <v>-7.5344909609895261E-2</v>
      </c>
    </row>
    <row r="87" spans="1:7" x14ac:dyDescent="0.25">
      <c r="A87" s="27" cm="1">
        <f t="array" ref="A87">INDEX(AAPL_Data[],ROW()-6,1)</f>
        <v>44593</v>
      </c>
      <c r="B87" cm="1">
        <f t="array" ref="B87">INDEX(AAPL_Data[],ROW()-6,2)</f>
        <v>172.71641539999999</v>
      </c>
      <c r="C87" s="21">
        <f t="shared" si="3"/>
        <v>-3.0247682582847206E-2</v>
      </c>
      <c r="D87">
        <f>_xlfn.XLOOKUP(A87,GSPC_Data[Date],GSPC_Data[Close])</f>
        <v>436.63</v>
      </c>
      <c r="E87" s="21">
        <f t="shared" si="4"/>
        <v>-2.9517014514013978E-2</v>
      </c>
      <c r="F87">
        <f>_xlfn.XLOOKUP(A87,MSFT_Data[Date],MSFT_Data[Close])</f>
        <v>298.79000000000002</v>
      </c>
      <c r="G87" s="21">
        <f t="shared" si="5"/>
        <v>-3.9198662293395067E-2</v>
      </c>
    </row>
    <row r="88" spans="1:7" x14ac:dyDescent="0.25">
      <c r="A88" s="27" cm="1">
        <f t="array" ref="A88">INDEX(AAPL_Data[],ROW()-6,1)</f>
        <v>44621</v>
      </c>
      <c r="B88" cm="1">
        <f t="array" ref="B88">INDEX(AAPL_Data[],ROW()-6,2)</f>
        <v>175.34226989999999</v>
      </c>
      <c r="C88" s="21">
        <f t="shared" si="3"/>
        <v>1.5203271176736121E-2</v>
      </c>
      <c r="D88">
        <f>_xlfn.XLOOKUP(A88,GSPC_Data[Date],GSPC_Data[Close])</f>
        <v>451.64</v>
      </c>
      <c r="E88" s="21">
        <f t="shared" si="4"/>
        <v>3.4376932414172161E-2</v>
      </c>
      <c r="F88">
        <f>_xlfn.XLOOKUP(A88,MSFT_Data[Date],MSFT_Data[Close])</f>
        <v>308.31</v>
      </c>
      <c r="G88" s="21">
        <f t="shared" si="5"/>
        <v>3.1861842765822088E-2</v>
      </c>
    </row>
    <row r="89" spans="1:7" x14ac:dyDescent="0.25">
      <c r="A89" s="27" cm="1">
        <f t="array" ref="A89">INDEX(AAPL_Data[],ROW()-6,1)</f>
        <v>44652</v>
      </c>
      <c r="B89" cm="1">
        <f t="array" ref="B89">INDEX(AAPL_Data[],ROW()-6,2)</f>
        <v>174.83277889999999</v>
      </c>
      <c r="C89" s="21">
        <f t="shared" si="3"/>
        <v>-2.9056941049671963E-3</v>
      </c>
      <c r="D89">
        <f>_xlfn.XLOOKUP(A89,GSPC_Data[Date],GSPC_Data[Close])</f>
        <v>412</v>
      </c>
      <c r="E89" s="21">
        <f t="shared" si="4"/>
        <v>-8.7769019573111298E-2</v>
      </c>
      <c r="F89">
        <f>_xlfn.XLOOKUP(A89,MSFT_Data[Date],MSFT_Data[Close])</f>
        <v>277.52</v>
      </c>
      <c r="G89" s="21">
        <f t="shared" si="5"/>
        <v>-9.9867016963445951E-2</v>
      </c>
    </row>
    <row r="90" spans="1:7" x14ac:dyDescent="0.25">
      <c r="A90" s="27" cm="1">
        <f t="array" ref="A90">INDEX(AAPL_Data[],ROW()-6,1)</f>
        <v>44682</v>
      </c>
      <c r="B90" cm="1">
        <f t="array" ref="B90">INDEX(AAPL_Data[],ROW()-6,2)</f>
        <v>162.6638336</v>
      </c>
      <c r="C90" s="21">
        <f t="shared" si="3"/>
        <v>-6.960333969730198E-2</v>
      </c>
      <c r="D90">
        <f>_xlfn.XLOOKUP(A90,GSPC_Data[Date],GSPC_Data[Close])</f>
        <v>412.93</v>
      </c>
      <c r="E90" s="21">
        <f t="shared" si="4"/>
        <v>2.2572815533980746E-3</v>
      </c>
      <c r="F90">
        <f>_xlfn.XLOOKUP(A90,MSFT_Data[Date],MSFT_Data[Close])</f>
        <v>271.87</v>
      </c>
      <c r="G90" s="21">
        <f t="shared" si="5"/>
        <v>-2.0358893052752874E-2</v>
      </c>
    </row>
    <row r="91" spans="1:7" x14ac:dyDescent="0.25">
      <c r="A91" s="27" cm="1">
        <f t="array" ref="A91">INDEX(AAPL_Data[],ROW()-6,1)</f>
        <v>44713</v>
      </c>
      <c r="B91" cm="1">
        <f t="array" ref="B91">INDEX(AAPL_Data[],ROW()-6,2)</f>
        <v>148.3709259</v>
      </c>
      <c r="C91" s="21">
        <f t="shared" si="3"/>
        <v>-8.7867766200242808E-2</v>
      </c>
      <c r="D91">
        <f>_xlfn.XLOOKUP(A91,GSPC_Data[Date],GSPC_Data[Close])</f>
        <v>377.25</v>
      </c>
      <c r="E91" s="21">
        <f t="shared" si="4"/>
        <v>-8.6406897052769244E-2</v>
      </c>
      <c r="F91">
        <f>_xlfn.XLOOKUP(A91,MSFT_Data[Date],MSFT_Data[Close])</f>
        <v>256.83</v>
      </c>
      <c r="G91" s="21">
        <f t="shared" si="5"/>
        <v>-5.5320557619450546E-2</v>
      </c>
    </row>
    <row r="92" spans="1:7" x14ac:dyDescent="0.25">
      <c r="A92" s="27" cm="1">
        <f t="array" ref="A92">INDEX(AAPL_Data[],ROW()-6,1)</f>
        <v>44743</v>
      </c>
      <c r="B92" cm="1">
        <f t="array" ref="B92">INDEX(AAPL_Data[],ROW()-6,2)</f>
        <v>159.45872499999999</v>
      </c>
      <c r="C92" s="21">
        <f t="shared" si="3"/>
        <v>7.4730268297125882E-2</v>
      </c>
      <c r="D92">
        <f>_xlfn.XLOOKUP(A92,GSPC_Data[Date],GSPC_Data[Close])</f>
        <v>411.99</v>
      </c>
      <c r="E92" s="21">
        <f t="shared" si="4"/>
        <v>9.2087475149105397E-2</v>
      </c>
      <c r="F92">
        <f>_xlfn.XLOOKUP(A92,MSFT_Data[Date],MSFT_Data[Close])</f>
        <v>280.74</v>
      </c>
      <c r="G92" s="21">
        <f t="shared" si="5"/>
        <v>9.3096600864385107E-2</v>
      </c>
    </row>
    <row r="93" spans="1:7" x14ac:dyDescent="0.25">
      <c r="A93" s="27" cm="1">
        <f t="array" ref="A93">INDEX(AAPL_Data[],ROW()-6,1)</f>
        <v>44774</v>
      </c>
      <c r="B93" cm="1">
        <f t="array" ref="B93">INDEX(AAPL_Data[],ROW()-6,2)</f>
        <v>171.51054379999999</v>
      </c>
      <c r="C93" s="21">
        <f t="shared" si="3"/>
        <v>7.5579550758354597E-2</v>
      </c>
      <c r="D93">
        <f>_xlfn.XLOOKUP(A93,GSPC_Data[Date],GSPC_Data[Close])</f>
        <v>395.18</v>
      </c>
      <c r="E93" s="21">
        <f t="shared" si="4"/>
        <v>-4.0801961212650797E-2</v>
      </c>
      <c r="F93">
        <f>_xlfn.XLOOKUP(A93,MSFT_Data[Date],MSFT_Data[Close])</f>
        <v>261.47000000000003</v>
      </c>
      <c r="G93" s="21">
        <f t="shared" si="5"/>
        <v>-6.8640022796893851E-2</v>
      </c>
    </row>
    <row r="94" spans="1:7" x14ac:dyDescent="0.25">
      <c r="A94" s="27" cm="1">
        <f t="array" ref="A94">INDEX(AAPL_Data[],ROW()-6,1)</f>
        <v>44805</v>
      </c>
      <c r="B94" cm="1">
        <f t="array" ref="B94">INDEX(AAPL_Data[],ROW()-6,2)</f>
        <v>160.58418270000001</v>
      </c>
      <c r="C94" s="21">
        <f t="shared" si="3"/>
        <v>-6.3706643672830451E-2</v>
      </c>
      <c r="D94">
        <f>_xlfn.XLOOKUP(A94,GSPC_Data[Date],GSPC_Data[Close])</f>
        <v>357.18</v>
      </c>
      <c r="E94" s="21">
        <f t="shared" si="4"/>
        <v>-9.615871248544966E-2</v>
      </c>
      <c r="F94">
        <f>_xlfn.XLOOKUP(A94,MSFT_Data[Date],MSFT_Data[Close])</f>
        <v>232.9</v>
      </c>
      <c r="G94" s="21">
        <f t="shared" si="5"/>
        <v>-0.10926683749569747</v>
      </c>
    </row>
    <row r="95" spans="1:7" x14ac:dyDescent="0.25">
      <c r="A95" s="27" cm="1">
        <f t="array" ref="A95">INDEX(AAPL_Data[],ROW()-6,1)</f>
        <v>44835</v>
      </c>
      <c r="B95" cm="1">
        <f t="array" ref="B95">INDEX(AAPL_Data[],ROW()-6,2)</f>
        <v>153.0281372</v>
      </c>
      <c r="C95" s="21">
        <f t="shared" si="3"/>
        <v>-4.7053485424003776E-2</v>
      </c>
      <c r="D95">
        <f>_xlfn.XLOOKUP(A95,GSPC_Data[Date],GSPC_Data[Close])</f>
        <v>386.21</v>
      </c>
      <c r="E95" s="21">
        <f t="shared" si="4"/>
        <v>8.1275547343076238E-2</v>
      </c>
      <c r="F95">
        <f>_xlfn.XLOOKUP(A95,MSFT_Data[Date],MSFT_Data[Close])</f>
        <v>232.13</v>
      </c>
      <c r="G95" s="21">
        <f t="shared" si="5"/>
        <v>-3.3061399742379143E-3</v>
      </c>
    </row>
    <row r="96" spans="1:7" x14ac:dyDescent="0.25">
      <c r="A96" s="27" cm="1">
        <f t="array" ref="A96">INDEX(AAPL_Data[],ROW()-6,1)</f>
        <v>44866</v>
      </c>
      <c r="B96" cm="1">
        <f t="array" ref="B96">INDEX(AAPL_Data[],ROW()-6,2)</f>
        <v>148.9021759</v>
      </c>
      <c r="C96" s="21">
        <f t="shared" si="3"/>
        <v>-2.6962108900323203E-2</v>
      </c>
      <c r="D96">
        <f>_xlfn.XLOOKUP(A96,GSPC_Data[Date],GSPC_Data[Close])</f>
        <v>407.68</v>
      </c>
      <c r="E96" s="21">
        <f t="shared" si="4"/>
        <v>5.5591517568162475E-2</v>
      </c>
      <c r="F96">
        <f>_xlfn.XLOOKUP(A96,MSFT_Data[Date],MSFT_Data[Close])</f>
        <v>255.14</v>
      </c>
      <c r="G96" s="21">
        <f t="shared" si="5"/>
        <v>9.9125490027139926E-2</v>
      </c>
    </row>
    <row r="97" spans="1:7" x14ac:dyDescent="0.25">
      <c r="A97" s="27" cm="1">
        <f t="array" ref="A97">INDEX(AAPL_Data[],ROW()-6,1)</f>
        <v>44896</v>
      </c>
      <c r="B97" cm="1">
        <f t="array" ref="B97">INDEX(AAPL_Data[],ROW()-6,2)</f>
        <v>145.96920779999999</v>
      </c>
      <c r="C97" s="21">
        <f t="shared" si="3"/>
        <v>-1.9697281670146571E-2</v>
      </c>
      <c r="D97">
        <f>_xlfn.XLOOKUP(A97,GSPC_Data[Date],GSPC_Data[Close])</f>
        <v>382.43</v>
      </c>
      <c r="E97" s="21">
        <f t="shared" si="4"/>
        <v>-6.1935832025117737E-2</v>
      </c>
      <c r="F97">
        <f>_xlfn.XLOOKUP(A97,MSFT_Data[Date],MSFT_Data[Close])</f>
        <v>239.82</v>
      </c>
      <c r="G97" s="21">
        <f t="shared" si="5"/>
        <v>-6.0045465234773041E-2</v>
      </c>
    </row>
    <row r="98" spans="1:7" x14ac:dyDescent="0.25">
      <c r="A98" s="27" cm="1">
        <f t="array" ref="A98">INDEX(AAPL_Data[],ROW()-6,1)</f>
        <v>44927</v>
      </c>
      <c r="B98" cm="1">
        <f t="array" ref="B98">INDEX(AAPL_Data[],ROW()-6,2)</f>
        <v>143.62675479999999</v>
      </c>
      <c r="C98" s="21">
        <f t="shared" si="3"/>
        <v>-1.6047583153356033E-2</v>
      </c>
      <c r="D98">
        <f>_xlfn.XLOOKUP(A98,GSPC_Data[Date],GSPC_Data[Close])</f>
        <v>406.48</v>
      </c>
      <c r="E98" s="21">
        <f t="shared" si="4"/>
        <v>6.2887325785111026E-2</v>
      </c>
      <c r="F98">
        <f>_xlfn.XLOOKUP(A98,MSFT_Data[Date],MSFT_Data[Close])</f>
        <v>247.81</v>
      </c>
      <c r="G98" s="21">
        <f t="shared" si="5"/>
        <v>3.3316654157284666E-2</v>
      </c>
    </row>
    <row r="99" spans="1:7" x14ac:dyDescent="0.25">
      <c r="A99" s="27" cm="1">
        <f t="array" ref="A99">INDEX(AAPL_Data[],ROW()-6,1)</f>
        <v>44958</v>
      </c>
      <c r="B99" cm="1">
        <f t="array" ref="B99">INDEX(AAPL_Data[],ROW()-6,2)</f>
        <v>153.11186219999999</v>
      </c>
      <c r="C99" s="21">
        <f t="shared" si="3"/>
        <v>6.6039975721849317E-2</v>
      </c>
      <c r="D99">
        <f>_xlfn.XLOOKUP(A99,GSPC_Data[Date],GSPC_Data[Close])</f>
        <v>396.26</v>
      </c>
      <c r="E99" s="21">
        <f t="shared" si="4"/>
        <v>-2.5142688447156138E-2</v>
      </c>
      <c r="F99">
        <f>_xlfn.XLOOKUP(A99,MSFT_Data[Date],MSFT_Data[Close])</f>
        <v>249.42</v>
      </c>
      <c r="G99" s="21">
        <f t="shared" si="5"/>
        <v>6.4969129575077082E-3</v>
      </c>
    </row>
    <row r="100" spans="1:7" x14ac:dyDescent="0.25">
      <c r="A100" s="27" cm="1">
        <f t="array" ref="A100">INDEX(AAPL_Data[],ROW()-6,1)</f>
        <v>44986</v>
      </c>
      <c r="B100" cm="1">
        <f t="array" ref="B100">INDEX(AAPL_Data[],ROW()-6,2)</f>
        <v>162.5451813</v>
      </c>
      <c r="C100" s="21">
        <f t="shared" si="3"/>
        <v>6.1610635286231966E-2</v>
      </c>
      <c r="D100">
        <f>_xlfn.XLOOKUP(A100,GSPC_Data[Date],GSPC_Data[Close])</f>
        <v>409.39</v>
      </c>
      <c r="E100" s="21">
        <f t="shared" si="4"/>
        <v>3.3134810477968998E-2</v>
      </c>
      <c r="F100">
        <f>_xlfn.XLOOKUP(A100,MSFT_Data[Date],MSFT_Data[Close])</f>
        <v>288.3</v>
      </c>
      <c r="G100" s="21">
        <f t="shared" si="5"/>
        <v>0.1558816454173684</v>
      </c>
    </row>
    <row r="101" spans="1:7" x14ac:dyDescent="0.25">
      <c r="A101" s="27" cm="1">
        <f t="array" ref="A101">INDEX(AAPL_Data[],ROW()-6,1)</f>
        <v>45017</v>
      </c>
      <c r="B101" cm="1">
        <f t="array" ref="B101">INDEX(AAPL_Data[],ROW()-6,2)</f>
        <v>167.25691219999999</v>
      </c>
      <c r="C101" s="21">
        <f t="shared" si="3"/>
        <v>2.8987207509423671E-2</v>
      </c>
      <c r="D101">
        <f>_xlfn.XLOOKUP(A101,GSPC_Data[Date],GSPC_Data[Close])</f>
        <v>415.93</v>
      </c>
      <c r="E101" s="21">
        <f t="shared" si="4"/>
        <v>1.5974987176042454E-2</v>
      </c>
      <c r="F101">
        <f>_xlfn.XLOOKUP(A101,MSFT_Data[Date],MSFT_Data[Close])</f>
        <v>307.26</v>
      </c>
      <c r="G101" s="21">
        <f t="shared" si="5"/>
        <v>6.5764828303850081E-2</v>
      </c>
    </row>
    <row r="102" spans="1:7" x14ac:dyDescent="0.25">
      <c r="A102" s="27" cm="1">
        <f t="array" ref="A102">INDEX(AAPL_Data[],ROW()-6,1)</f>
        <v>45047</v>
      </c>
      <c r="B102" cm="1">
        <f t="array" ref="B102">INDEX(AAPL_Data[],ROW()-6,2)</f>
        <v>175.0098572</v>
      </c>
      <c r="C102" s="21">
        <f t="shared" si="3"/>
        <v>4.6353510285597699E-2</v>
      </c>
      <c r="D102">
        <f>_xlfn.XLOOKUP(A102,GSPC_Data[Date],GSPC_Data[Close])</f>
        <v>417.85</v>
      </c>
      <c r="E102" s="21">
        <f t="shared" si="4"/>
        <v>4.6161613733080465E-3</v>
      </c>
      <c r="F102">
        <f>_xlfn.XLOOKUP(A102,MSFT_Data[Date],MSFT_Data[Close])</f>
        <v>328.39</v>
      </c>
      <c r="G102" s="21">
        <f t="shared" si="5"/>
        <v>6.8769120614463303E-2</v>
      </c>
    </row>
    <row r="103" spans="1:7" x14ac:dyDescent="0.25">
      <c r="A103" s="27" cm="1">
        <f t="array" ref="A103">INDEX(AAPL_Data[],ROW()-6,1)</f>
        <v>45078</v>
      </c>
      <c r="B103" cm="1">
        <f t="array" ref="B103">INDEX(AAPL_Data[],ROW()-6,2)</f>
        <v>191.4645233</v>
      </c>
      <c r="C103" s="21">
        <f t="shared" si="3"/>
        <v>9.402136750043584E-2</v>
      </c>
      <c r="D103">
        <f>_xlfn.XLOOKUP(A103,GSPC_Data[Date],GSPC_Data[Close])</f>
        <v>443.28</v>
      </c>
      <c r="E103" s="21">
        <f t="shared" si="4"/>
        <v>6.0859159985640655E-2</v>
      </c>
      <c r="F103">
        <f>_xlfn.XLOOKUP(A103,MSFT_Data[Date],MSFT_Data[Close])</f>
        <v>340.54</v>
      </c>
      <c r="G103" s="21">
        <f t="shared" si="5"/>
        <v>3.6998690581321096E-2</v>
      </c>
    </row>
    <row r="104" spans="1:7" x14ac:dyDescent="0.25">
      <c r="A104" s="27" cm="1">
        <f t="array" ref="A104">INDEX(AAPL_Data[],ROW()-6,1)</f>
        <v>45108</v>
      </c>
      <c r="B104" cm="1">
        <f t="array" ref="B104">INDEX(AAPL_Data[],ROW()-6,2)</f>
        <v>193.91247559999999</v>
      </c>
      <c r="C104" s="21">
        <f t="shared" si="3"/>
        <v>1.2785409316609398E-2</v>
      </c>
      <c r="D104">
        <f>_xlfn.XLOOKUP(A104,GSPC_Data[Date],GSPC_Data[Close])</f>
        <v>457.79</v>
      </c>
      <c r="E104" s="21">
        <f t="shared" si="4"/>
        <v>3.273326114419791E-2</v>
      </c>
      <c r="F104">
        <f>_xlfn.XLOOKUP(A104,MSFT_Data[Date],MSFT_Data[Close])</f>
        <v>335.92</v>
      </c>
      <c r="G104" s="21">
        <f t="shared" si="5"/>
        <v>-1.3566688201092395E-2</v>
      </c>
    </row>
    <row r="105" spans="1:7" x14ac:dyDescent="0.25">
      <c r="A105" s="27" cm="1">
        <f t="array" ref="A105">INDEX(AAPL_Data[],ROW()-6,1)</f>
        <v>45139</v>
      </c>
      <c r="B105" cm="1">
        <f t="array" ref="B105">INDEX(AAPL_Data[],ROW()-6,2)</f>
        <v>193.08332820000001</v>
      </c>
      <c r="C105" s="21">
        <f t="shared" si="3"/>
        <v>-4.275884764167192E-3</v>
      </c>
      <c r="D105">
        <f>_xlfn.XLOOKUP(A105,GSPC_Data[Date],GSPC_Data[Close])</f>
        <v>450.35</v>
      </c>
      <c r="E105" s="21">
        <f t="shared" si="4"/>
        <v>-1.6251993272024284E-2</v>
      </c>
      <c r="F105">
        <f>_xlfn.XLOOKUP(A105,MSFT_Data[Date],MSFT_Data[Close])</f>
        <v>327.76</v>
      </c>
      <c r="G105" s="21">
        <f t="shared" si="5"/>
        <v>-2.4291497975708575E-2</v>
      </c>
    </row>
    <row r="106" spans="1:7" x14ac:dyDescent="0.25">
      <c r="A106" s="27" cm="1">
        <f t="array" ref="A106">INDEX(AAPL_Data[],ROW()-6,1)</f>
        <v>45170</v>
      </c>
      <c r="B106" cm="1">
        <f t="array" ref="B106">INDEX(AAPL_Data[],ROW()-6,2)</f>
        <v>187.502533</v>
      </c>
      <c r="C106" s="21">
        <f t="shared" si="3"/>
        <v>-2.8903558127086455E-2</v>
      </c>
      <c r="D106">
        <f>_xlfn.XLOOKUP(A106,GSPC_Data[Date],GSPC_Data[Close])</f>
        <v>427.48</v>
      </c>
      <c r="E106" s="21">
        <f t="shared" si="4"/>
        <v>-5.0782724547574119E-2</v>
      </c>
      <c r="F106">
        <f>_xlfn.XLOOKUP(A106,MSFT_Data[Date],MSFT_Data[Close])</f>
        <v>315.75</v>
      </c>
      <c r="G106" s="21">
        <f t="shared" si="5"/>
        <v>-3.6642665364901121E-2</v>
      </c>
    </row>
    <row r="107" spans="1:7" x14ac:dyDescent="0.25">
      <c r="A107" s="27" cm="1">
        <f t="array" ref="A107">INDEX(AAPL_Data[],ROW()-6,1)</f>
        <v>45200</v>
      </c>
      <c r="B107" cm="1">
        <f t="array" ref="B107">INDEX(AAPL_Data[],ROW()-6,2)</f>
        <v>178.61668399999999</v>
      </c>
      <c r="C107" s="21">
        <f t="shared" si="3"/>
        <v>-4.7390554451869765E-2</v>
      </c>
      <c r="D107">
        <f>_xlfn.XLOOKUP(A107,GSPC_Data[Date],GSPC_Data[Close])</f>
        <v>418.2</v>
      </c>
      <c r="E107" s="21">
        <f t="shared" si="4"/>
        <v>-2.1708617947038527E-2</v>
      </c>
      <c r="F107">
        <f>_xlfn.XLOOKUP(A107,MSFT_Data[Date],MSFT_Data[Close])</f>
        <v>338.11</v>
      </c>
      <c r="G107" s="21">
        <f t="shared" si="5"/>
        <v>7.0815518606492517E-2</v>
      </c>
    </row>
    <row r="108" spans="1:7" x14ac:dyDescent="0.25">
      <c r="A108" s="27" cm="1">
        <f t="array" ref="A108">INDEX(AAPL_Data[],ROW()-6,1)</f>
        <v>45231</v>
      </c>
      <c r="B108" cm="1">
        <f t="array" ref="B108">INDEX(AAPL_Data[],ROW()-6,2)</f>
        <v>189.48155209999999</v>
      </c>
      <c r="C108" s="21">
        <f t="shared" si="3"/>
        <v>6.0827845734724287E-2</v>
      </c>
      <c r="D108">
        <f>_xlfn.XLOOKUP(A108,GSPC_Data[Date],GSPC_Data[Close])</f>
        <v>456.4</v>
      </c>
      <c r="E108" s="21">
        <f t="shared" si="4"/>
        <v>9.134385461501672E-2</v>
      </c>
      <c r="F108">
        <f>_xlfn.XLOOKUP(A108,MSFT_Data[Date],MSFT_Data[Close])</f>
        <v>378.91</v>
      </c>
      <c r="G108" s="21">
        <f t="shared" si="5"/>
        <v>0.1206707876134986</v>
      </c>
    </row>
    <row r="109" spans="1:7" x14ac:dyDescent="0.25">
      <c r="A109" s="27" cm="1">
        <f t="array" ref="A109">INDEX(AAPL_Data[],ROW()-6,1)</f>
        <v>45261</v>
      </c>
      <c r="B109" cm="1">
        <f t="array" ref="B109">INDEX(AAPL_Data[],ROW()-6,2)</f>
        <v>196.0730896</v>
      </c>
      <c r="C109" s="21">
        <f t="shared" si="3"/>
        <v>3.4787225600312228E-2</v>
      </c>
      <c r="D109">
        <f>_xlfn.XLOOKUP(A109,GSPC_Data[Date],GSPC_Data[Close])</f>
        <v>475.31</v>
      </c>
      <c r="E109" s="21">
        <f t="shared" si="4"/>
        <v>4.1432953549518023E-2</v>
      </c>
      <c r="F109">
        <f>_xlfn.XLOOKUP(A109,MSFT_Data[Date],MSFT_Data[Close])</f>
        <v>376.04</v>
      </c>
      <c r="G109" s="21">
        <f t="shared" si="5"/>
        <v>-7.5743580269721153E-3</v>
      </c>
    </row>
    <row r="110" spans="1:7" x14ac:dyDescent="0.25">
      <c r="A110" s="27" cm="1">
        <f t="array" ref="A110">INDEX(AAPL_Data[],ROW()-6,1)</f>
        <v>45292</v>
      </c>
      <c r="B110" cm="1">
        <f t="array" ref="B110">INDEX(AAPL_Data[],ROW()-6,2)</f>
        <v>193.1732025</v>
      </c>
      <c r="C110" s="21">
        <f t="shared" si="3"/>
        <v>-1.4789827129852096E-2</v>
      </c>
      <c r="D110">
        <f>_xlfn.XLOOKUP(A110,GSPC_Data[Date],GSPC_Data[Close])</f>
        <v>482.88</v>
      </c>
      <c r="E110" s="21">
        <f t="shared" si="4"/>
        <v>1.5926448002356344E-2</v>
      </c>
      <c r="F110">
        <f>_xlfn.XLOOKUP(A110,MSFT_Data[Date],MSFT_Data[Close])</f>
        <v>397.58</v>
      </c>
      <c r="G110" s="21">
        <f t="shared" si="5"/>
        <v>5.7281140304222856E-2</v>
      </c>
    </row>
    <row r="111" spans="1:7" x14ac:dyDescent="0.25">
      <c r="A111" s="27" cm="1">
        <f t="array" ref="A111">INDEX(AAPL_Data[],ROW()-6,1)</f>
        <v>45323</v>
      </c>
      <c r="B111" cm="1">
        <f t="array" ref="B111">INDEX(AAPL_Data[],ROW()-6,2)</f>
        <v>187.46257019999999</v>
      </c>
      <c r="C111" s="21">
        <f t="shared" si="3"/>
        <v>-2.956223858223821E-2</v>
      </c>
      <c r="D111">
        <f>_xlfn.XLOOKUP(A111,GSPC_Data[Date],GSPC_Data[Close])</f>
        <v>508.08</v>
      </c>
      <c r="E111" s="21">
        <f t="shared" si="4"/>
        <v>5.2186878727634174E-2</v>
      </c>
      <c r="F111">
        <f>_xlfn.XLOOKUP(A111,MSFT_Data[Date],MSFT_Data[Close])</f>
        <v>413.64</v>
      </c>
      <c r="G111" s="21">
        <f t="shared" si="5"/>
        <v>4.0394386035514873E-2</v>
      </c>
    </row>
    <row r="112" spans="1:7" x14ac:dyDescent="0.25">
      <c r="A112" s="27" cm="1">
        <f t="array" ref="A112">INDEX(AAPL_Data[],ROW()-6,1)</f>
        <v>45352</v>
      </c>
      <c r="B112" cm="1">
        <f t="array" ref="B112">INDEX(AAPL_Data[],ROW()-6,2)</f>
        <v>178.03970340000001</v>
      </c>
      <c r="C112" s="21">
        <f t="shared" si="3"/>
        <v>-5.0265323845431732E-2</v>
      </c>
      <c r="D112">
        <f>_xlfn.XLOOKUP(A112,GSPC_Data[Date],GSPC_Data[Close])</f>
        <v>523.07000000000005</v>
      </c>
      <c r="E112" s="21">
        <f t="shared" si="4"/>
        <v>2.9503227838135856E-2</v>
      </c>
      <c r="F112">
        <f>_xlfn.XLOOKUP(A112,MSFT_Data[Date],MSFT_Data[Close])</f>
        <v>420.72</v>
      </c>
      <c r="G112" s="21">
        <f t="shared" si="5"/>
        <v>1.7116333043226094E-2</v>
      </c>
    </row>
    <row r="113" spans="1:7" x14ac:dyDescent="0.25">
      <c r="A113" s="27" cm="1">
        <f t="array" ref="A113">INDEX(AAPL_Data[],ROW()-6,1)</f>
        <v>45383</v>
      </c>
      <c r="B113" cm="1">
        <f t="array" ref="B113">INDEX(AAPL_Data[],ROW()-6,2)</f>
        <v>174.95773320000001</v>
      </c>
      <c r="C113" s="21">
        <f t="shared" si="3"/>
        <v>-1.7310578152760506E-2</v>
      </c>
      <c r="D113">
        <f>_xlfn.XLOOKUP(A113,GSPC_Data[Date],GSPC_Data[Close])</f>
        <v>501.98</v>
      </c>
      <c r="E113" s="21">
        <f t="shared" si="4"/>
        <v>-4.031965128950242E-2</v>
      </c>
      <c r="F113">
        <f>_xlfn.XLOOKUP(A113,MSFT_Data[Date],MSFT_Data[Close])</f>
        <v>389.33</v>
      </c>
      <c r="G113" s="21">
        <f t="shared" si="5"/>
        <v>-7.4610192051720953E-2</v>
      </c>
    </row>
    <row r="114" spans="1:7" x14ac:dyDescent="0.25">
      <c r="A114" s="27" cm="1">
        <f t="array" ref="A114">INDEX(AAPL_Data[],ROW()-6,1)</f>
        <v>45413</v>
      </c>
      <c r="B114" cm="1">
        <f t="array" ref="B114">INDEX(AAPL_Data[],ROW()-6,2)</f>
        <v>190.8737946</v>
      </c>
      <c r="C114" s="21">
        <f t="shared" si="3"/>
        <v>9.0970893991898089E-2</v>
      </c>
      <c r="D114">
        <f>_xlfn.XLOOKUP(A114,GSPC_Data[Date],GSPC_Data[Close])</f>
        <v>527.37</v>
      </c>
      <c r="E114" s="21">
        <f t="shared" si="4"/>
        <v>5.0579704370692029E-2</v>
      </c>
      <c r="F114">
        <f>_xlfn.XLOOKUP(A114,MSFT_Data[Date],MSFT_Data[Close])</f>
        <v>415.13</v>
      </c>
      <c r="G114" s="21">
        <f t="shared" si="5"/>
        <v>6.6267690648036406E-2</v>
      </c>
    </row>
    <row r="115" spans="1:7" x14ac:dyDescent="0.25">
      <c r="A115" s="27" cm="1">
        <f t="array" ref="A115">INDEX(AAPL_Data[],ROW()-6,1)</f>
        <v>45444</v>
      </c>
      <c r="B115" cm="1">
        <f t="array" ref="B115">INDEX(AAPL_Data[],ROW()-6,2)</f>
        <v>215.00714110000001</v>
      </c>
      <c r="C115" s="21">
        <f t="shared" si="3"/>
        <v>0.12643614358154545</v>
      </c>
      <c r="D115">
        <f>_xlfn.XLOOKUP(A115,GSPC_Data[Date],GSPC_Data[Close])</f>
        <v>544.22</v>
      </c>
      <c r="E115" s="21">
        <f t="shared" si="4"/>
        <v>3.1951002142708199E-2</v>
      </c>
      <c r="F115">
        <f>_xlfn.XLOOKUP(A115,MSFT_Data[Date],MSFT_Data[Close])</f>
        <v>446.95</v>
      </c>
      <c r="G115" s="21">
        <f t="shared" si="5"/>
        <v>7.6650687736371723E-2</v>
      </c>
    </row>
    <row r="116" spans="1:7" x14ac:dyDescent="0.25">
      <c r="A116" s="27" cm="1">
        <f t="array" ref="A116">INDEX(AAPL_Data[],ROW()-6,1)</f>
        <v>45474</v>
      </c>
      <c r="B116" cm="1">
        <f t="array" ref="B116">INDEX(AAPL_Data[],ROW()-6,2)</f>
        <v>233.01785280000001</v>
      </c>
      <c r="C116" s="21">
        <f t="shared" si="3"/>
        <v>8.3767969788609037E-2</v>
      </c>
      <c r="D116">
        <f>_xlfn.XLOOKUP(A116,GSPC_Data[Date],GSPC_Data[Close])</f>
        <v>550.80999999999995</v>
      </c>
      <c r="E116" s="21">
        <f t="shared" si="4"/>
        <v>1.210907353643732E-2</v>
      </c>
      <c r="F116">
        <f>_xlfn.XLOOKUP(A116,MSFT_Data[Date],MSFT_Data[Close])</f>
        <v>418.35</v>
      </c>
      <c r="G116" s="21">
        <f t="shared" si="5"/>
        <v>-6.3989260543684895E-2</v>
      </c>
    </row>
    <row r="117" spans="1:7" x14ac:dyDescent="0.25">
      <c r="A117" s="27" cm="1">
        <f t="array" ref="A117">INDEX(AAPL_Data[],ROW()-6,1)</f>
        <v>45505</v>
      </c>
      <c r="B117" cm="1">
        <f t="array" ref="B117">INDEX(AAPL_Data[],ROW()-6,2)</f>
        <v>228.2903748</v>
      </c>
      <c r="C117" s="21">
        <f t="shared" si="3"/>
        <v>-2.0288050650168976E-2</v>
      </c>
      <c r="D117">
        <f>_xlfn.XLOOKUP(A117,GSPC_Data[Date],GSPC_Data[Close])</f>
        <v>563.67999999999995</v>
      </c>
      <c r="E117" s="21">
        <f t="shared" si="4"/>
        <v>2.3365588860042495E-2</v>
      </c>
      <c r="F117">
        <f>_xlfn.XLOOKUP(A117,MSFT_Data[Date],MSFT_Data[Close])</f>
        <v>417.14</v>
      </c>
      <c r="G117" s="21">
        <f t="shared" si="5"/>
        <v>-2.8923150472093613E-3</v>
      </c>
    </row>
    <row r="118" spans="1:7" x14ac:dyDescent="0.25">
      <c r="A118" s="27" cm="1">
        <f t="array" ref="A118">INDEX(AAPL_Data[],ROW()-6,1)</f>
        <v>45536</v>
      </c>
      <c r="B118" cm="1">
        <f t="array" ref="B118">INDEX(AAPL_Data[],ROW()-6,2)</f>
        <v>231.47941589999999</v>
      </c>
      <c r="C118" s="21">
        <f t="shared" si="3"/>
        <v>1.3969231522765004E-2</v>
      </c>
      <c r="D118">
        <f>_xlfn.XLOOKUP(A118,GSPC_Data[Date],GSPC_Data[Close])</f>
        <v>573.76</v>
      </c>
      <c r="E118" s="21">
        <f t="shared" si="4"/>
        <v>1.7882486517172939E-2</v>
      </c>
      <c r="F118">
        <f>_xlfn.XLOOKUP(A118,MSFT_Data[Date],MSFT_Data[Close])</f>
        <v>430.3</v>
      </c>
      <c r="G118" s="21">
        <f t="shared" si="5"/>
        <v>3.1548161288776008E-2</v>
      </c>
    </row>
    <row r="119" spans="1:7" x14ac:dyDescent="0.25">
      <c r="A119" s="27" cm="1">
        <f t="array" ref="A119">INDEX(AAPL_Data[],ROW()-6,1)</f>
        <v>45566</v>
      </c>
      <c r="B119" cm="1">
        <f t="array" ref="B119">INDEX(AAPL_Data[],ROW()-6,2)</f>
        <v>234.93672179999999</v>
      </c>
      <c r="C119" s="21">
        <f t="shared" si="3"/>
        <v>1.4935694763864291E-2</v>
      </c>
      <c r="D119">
        <f>_xlfn.XLOOKUP(A119,GSPC_Data[Date],GSPC_Data[Close])</f>
        <v>568.64</v>
      </c>
      <c r="E119" s="21">
        <f t="shared" si="4"/>
        <v>-8.9235917456776427E-3</v>
      </c>
      <c r="F119">
        <f>_xlfn.XLOOKUP(A119,MSFT_Data[Date],MSFT_Data[Close])</f>
        <v>406.35</v>
      </c>
      <c r="G119" s="21">
        <f t="shared" si="5"/>
        <v>-5.5658842667906085E-2</v>
      </c>
    </row>
    <row r="120" spans="1:7" x14ac:dyDescent="0.25">
      <c r="A120" s="27" cm="1">
        <f t="array" ref="A120">INDEX(AAPL_Data[],ROW()-6,1)</f>
        <v>45597</v>
      </c>
      <c r="B120" cm="1">
        <f t="array" ref="B120">INDEX(AAPL_Data[],ROW()-6,2)</f>
        <v>236.04058839999999</v>
      </c>
      <c r="C120" s="21">
        <f t="shared" si="3"/>
        <v>4.6985698597587378E-3</v>
      </c>
      <c r="D120">
        <f>_xlfn.XLOOKUP(A120,GSPC_Data[Date],GSPC_Data[Close])</f>
        <v>602.54999999999995</v>
      </c>
      <c r="E120" s="21">
        <f t="shared" si="4"/>
        <v>5.9633511536297076E-2</v>
      </c>
      <c r="F120">
        <f>_xlfn.XLOOKUP(A120,MSFT_Data[Date],MSFT_Data[Close])</f>
        <v>423.46</v>
      </c>
      <c r="G120" s="21">
        <f t="shared" si="5"/>
        <v>4.2106558385628046E-2</v>
      </c>
    </row>
    <row r="121" spans="1:7" x14ac:dyDescent="0.25">
      <c r="A121" s="27" cm="1">
        <f t="array" ref="A121">INDEX(AAPL_Data[],ROW()-6,1)</f>
        <v>45627</v>
      </c>
      <c r="B121" cm="1">
        <f t="array" ref="B121">INDEX(AAPL_Data[],ROW()-6,2)</f>
        <v>257.61270139999999</v>
      </c>
      <c r="C121" s="21">
        <f t="shared" si="3"/>
        <v>9.1391540523714454E-2</v>
      </c>
      <c r="D121">
        <f>_xlfn.XLOOKUP(A121,GSPC_Data[Date],GSPC_Data[Close])</f>
        <v>586.08000000000004</v>
      </c>
      <c r="E121" s="21">
        <f t="shared" si="4"/>
        <v>-2.7333831217326222E-2</v>
      </c>
      <c r="F121">
        <f>_xlfn.XLOOKUP(A121,MSFT_Data[Date],MSFT_Data[Close])</f>
        <v>421.5</v>
      </c>
      <c r="G121" s="21">
        <f t="shared" si="5"/>
        <v>-4.6285363434562408E-3</v>
      </c>
    </row>
    <row r="122" spans="1:7" x14ac:dyDescent="0.25">
      <c r="A122" s="27" cm="1">
        <f t="array" ref="A122">INDEX(AAPL_Data[],ROW()-6,1)</f>
        <v>45658</v>
      </c>
      <c r="B122" cm="1">
        <f t="array" ref="B122">INDEX(AAPL_Data[],ROW()-6,2)</f>
        <v>243.66891480000001</v>
      </c>
      <c r="C122" s="21">
        <f t="shared" si="3"/>
        <v>-5.412693754703192E-2</v>
      </c>
      <c r="D122">
        <f>_xlfn.XLOOKUP(A122,GSPC_Data[Date],GSPC_Data[Close])</f>
        <v>601.82000000000005</v>
      </c>
      <c r="E122" s="21">
        <f t="shared" si="4"/>
        <v>2.6856401856401872E-2</v>
      </c>
      <c r="F122">
        <f>_xlfn.XLOOKUP(A122,MSFT_Data[Date],MSFT_Data[Close])</f>
        <v>415.06</v>
      </c>
      <c r="G122" s="21">
        <f t="shared" si="5"/>
        <v>-1.5278766310794775E-2</v>
      </c>
    </row>
    <row r="123" spans="1:7" x14ac:dyDescent="0.25">
      <c r="A123" s="27" cm="1">
        <f t="array" ref="A123">INDEX(AAPL_Data[],ROW()-6,1)</f>
        <v>45689</v>
      </c>
      <c r="B123" cm="1">
        <f t="array" ref="B123">INDEX(AAPL_Data[],ROW()-6,2)</f>
        <v>246.02771000000001</v>
      </c>
      <c r="C123" s="21">
        <f t="shared" si="3"/>
        <v>9.6803287441734973E-3</v>
      </c>
      <c r="D123">
        <f>_xlfn.XLOOKUP(A123,GSPC_Data[Date],GSPC_Data[Close])</f>
        <v>594.17999999999995</v>
      </c>
      <c r="E123" s="21">
        <f t="shared" si="4"/>
        <v>-1.2694825695390814E-2</v>
      </c>
      <c r="F123">
        <f>_xlfn.XLOOKUP(A123,MSFT_Data[Date],MSFT_Data[Close])</f>
        <v>396.99</v>
      </c>
      <c r="G123" s="21">
        <f t="shared" si="5"/>
        <v>-4.3535874331421948E-2</v>
      </c>
    </row>
    <row r="124" spans="1:7" x14ac:dyDescent="0.25">
      <c r="A124" s="27" cm="1">
        <f t="array" ref="A124">INDEX(AAPL_Data[],ROW()-6,1)</f>
        <v>45717</v>
      </c>
      <c r="B124" cm="1">
        <f t="array" ref="B124">INDEX(AAPL_Data[],ROW()-6,2)</f>
        <v>238.03254699999999</v>
      </c>
      <c r="C124" s="21">
        <f t="shared" si="3"/>
        <v>-3.2497002065336539E-2</v>
      </c>
      <c r="D124">
        <f>_xlfn.XLOOKUP(A124,GSPC_Data[Date],GSPC_Data[Close])</f>
        <v>559.39</v>
      </c>
      <c r="E124" s="21">
        <f t="shared" si="4"/>
        <v>-5.8551280756673006E-2</v>
      </c>
      <c r="F124">
        <f>_xlfn.XLOOKUP(A124,MSFT_Data[Date],MSFT_Data[Close])</f>
        <v>375.39</v>
      </c>
      <c r="G124" s="21">
        <f t="shared" si="5"/>
        <v>-5.4409430968034515E-2</v>
      </c>
    </row>
    <row r="125" spans="1:7" x14ac:dyDescent="0.25">
      <c r="A125" s="27" cm="1">
        <f t="array" ref="A125">INDEX(AAPL_Data[],ROW()-6,1)</f>
        <v>45748</v>
      </c>
      <c r="B125" cm="1">
        <f t="array" ref="B125">INDEX(AAPL_Data[],ROW()-6,2)</f>
        <v>222.91842650000001</v>
      </c>
      <c r="C125" s="21">
        <f t="shared" si="3"/>
        <v>-6.3496024768411125E-2</v>
      </c>
      <c r="D125">
        <f>_xlfn.XLOOKUP(A125,GSPC_Data[Date],GSPC_Data[Close])</f>
        <v>554.54</v>
      </c>
      <c r="E125" s="21">
        <f t="shared" si="4"/>
        <v>-8.6701585655804044E-3</v>
      </c>
      <c r="F125">
        <f>_xlfn.XLOOKUP(A125,MSFT_Data[Date],MSFT_Data[Close])</f>
        <v>395.26</v>
      </c>
      <c r="G125" s="21">
        <f t="shared" si="5"/>
        <v>5.2931617784171145E-2</v>
      </c>
    </row>
    <row r="126" spans="1:7" x14ac:dyDescent="0.25">
      <c r="A126" s="27" cm="1">
        <f t="array" ref="A126">INDEX(AAPL_Data[],ROW()-6,1)</f>
        <v>45778</v>
      </c>
      <c r="B126" cm="1">
        <f t="array" ref="B126">INDEX(AAPL_Data[],ROW()-6,2)</f>
        <v>212.39431759999999</v>
      </c>
      <c r="C126" s="21">
        <f t="shared" si="3"/>
        <v>-4.7210583105385485E-2</v>
      </c>
      <c r="D126">
        <f>_xlfn.XLOOKUP(A126,GSPC_Data[Date],GSPC_Data[Close])</f>
        <v>589.39</v>
      </c>
      <c r="E126" s="21">
        <f t="shared" si="4"/>
        <v>6.284488044144701E-2</v>
      </c>
      <c r="F126">
        <f>_xlfn.XLOOKUP(A126,MSFT_Data[Date],MSFT_Data[Close])</f>
        <v>460.36</v>
      </c>
      <c r="G126" s="21">
        <f t="shared" si="5"/>
        <v>0.16470171532662051</v>
      </c>
    </row>
    <row r="127" spans="1:7" x14ac:dyDescent="0.25">
      <c r="A127" s="27" cm="1">
        <f t="array" ref="A127">INDEX(AAPL_Data[],ROW()-6,1)</f>
        <v>45809</v>
      </c>
      <c r="B127" cm="1">
        <f t="array" ref="B127">INDEX(AAPL_Data[],ROW()-6,2)</f>
        <v>204.54754639999999</v>
      </c>
      <c r="C127" s="21">
        <f t="shared" si="3"/>
        <v>-3.6944355614907498E-2</v>
      </c>
      <c r="D127">
        <f>_xlfn.XLOOKUP(A127,GSPC_Data[Date],GSPC_Data[Close])</f>
        <v>617.85</v>
      </c>
      <c r="E127" s="21">
        <f t="shared" si="4"/>
        <v>4.828721220244666E-2</v>
      </c>
      <c r="F127">
        <f>_xlfn.XLOOKUP(A127,MSFT_Data[Date],MSFT_Data[Close])</f>
        <v>497.41</v>
      </c>
      <c r="G127" s="21">
        <f t="shared" si="5"/>
        <v>8.0480493526805127E-2</v>
      </c>
    </row>
    <row r="128" spans="1:7" x14ac:dyDescent="0.25">
      <c r="A128" s="27" cm="1">
        <f t="array" ref="A128">INDEX(AAPL_Data[],ROW()-6,1)</f>
        <v>45839</v>
      </c>
      <c r="B128" cm="1">
        <f t="array" ref="B128">INDEX(AAPL_Data[],ROW()-6,2)</f>
        <v>213.749527</v>
      </c>
      <c r="C128" s="21">
        <f t="shared" si="3"/>
        <v>4.4987000636053653E-2</v>
      </c>
      <c r="D128">
        <f>_xlfn.XLOOKUP(A128,GSPC_Data[Date],GSPC_Data[Close])</f>
        <v>632.08000000000004</v>
      </c>
      <c r="E128" s="21">
        <f t="shared" si="4"/>
        <v>2.3031480132718326E-2</v>
      </c>
      <c r="F128">
        <f>_xlfn.XLOOKUP(A128,MSFT_Data[Date],MSFT_Data[Close])</f>
        <v>533.5</v>
      </c>
      <c r="G128" s="21">
        <f t="shared" si="5"/>
        <v>7.2555839247300968E-2</v>
      </c>
    </row>
    <row r="129" spans="1:7" x14ac:dyDescent="0.25">
      <c r="A129" s="27" cm="1">
        <f t="array" ref="A129">INDEX(AAPL_Data[],ROW()-6,1)</f>
        <v>45870</v>
      </c>
      <c r="B129" cm="1">
        <f t="array" ref="B129">INDEX(AAPL_Data[],ROW()-6,2)</f>
        <v>232.88612370000001</v>
      </c>
      <c r="C129" s="21">
        <f t="shared" ref="C129:C136" si="6">(B129-B128)/B128</f>
        <v>8.9528135891500771E-2</v>
      </c>
      <c r="D129">
        <f>_xlfn.XLOOKUP(A129,GSPC_Data[Date],GSPC_Data[Close])</f>
        <v>645.04999999999995</v>
      </c>
      <c r="E129" s="21">
        <f t="shared" ref="E129:E136" si="7">(D129-D128)/D128</f>
        <v>2.051955448677369E-2</v>
      </c>
      <c r="F129">
        <f>_xlfn.XLOOKUP(A129,MSFT_Data[Date],MSFT_Data[Close])</f>
        <v>506.69</v>
      </c>
      <c r="G129" s="21">
        <f t="shared" ref="G129:G136" si="8">(F129-F128)/F128</f>
        <v>-5.0253045923149019E-2</v>
      </c>
    </row>
    <row r="130" spans="1:7" x14ac:dyDescent="0.25">
      <c r="A130" s="27" cm="1">
        <f t="array" ref="A130">INDEX(AAPL_Data[],ROW()-6,1)</f>
        <v>45901</v>
      </c>
      <c r="B130" cm="1">
        <f t="array" ref="B130">INDEX(AAPL_Data[],ROW()-6,2)</f>
        <v>256.38131709999999</v>
      </c>
      <c r="C130" s="21">
        <f t="shared" si="6"/>
        <v>0.10088704739774916</v>
      </c>
      <c r="D130">
        <f>_xlfn.XLOOKUP(A130,GSPC_Data[Date],GSPC_Data[Close])</f>
        <v>666.18</v>
      </c>
      <c r="E130" s="21">
        <f t="shared" si="7"/>
        <v>3.275715060847996E-2</v>
      </c>
      <c r="F130">
        <f>_xlfn.XLOOKUP(A130,MSFT_Data[Date],MSFT_Data[Close])</f>
        <v>517.95000000000005</v>
      </c>
      <c r="G130" s="21">
        <f t="shared" si="8"/>
        <v>2.2222660798515953E-2</v>
      </c>
    </row>
    <row r="131" spans="1:7" x14ac:dyDescent="0.25">
      <c r="A131" s="27" cm="1">
        <f t="array" ref="A131">INDEX(AAPL_Data[],ROW()-6,1)</f>
        <v>45931</v>
      </c>
      <c r="B131" cm="1">
        <f t="array" ref="B131">INDEX(AAPL_Data[],ROW()-6,2)</f>
        <v>270.883667</v>
      </c>
      <c r="C131" s="21">
        <f t="shared" si="6"/>
        <v>5.65655487850679E-2</v>
      </c>
      <c r="D131">
        <f>_xlfn.XLOOKUP(A131,GSPC_Data[Date],GSPC_Data[Close])</f>
        <v>682.06</v>
      </c>
      <c r="E131" s="21">
        <f t="shared" si="7"/>
        <v>2.3837401302951148E-2</v>
      </c>
      <c r="F131">
        <f>_xlfn.XLOOKUP(A131,MSFT_Data[Date],MSFT_Data[Close])</f>
        <v>517.80999999999995</v>
      </c>
      <c r="G131" s="21">
        <f t="shared" si="8"/>
        <v>-2.7029636065276579E-4</v>
      </c>
    </row>
    <row r="132" spans="1:7" x14ac:dyDescent="0.25">
      <c r="A132" s="27" cm="1">
        <f t="array" ref="A132">INDEX(AAPL_Data[],ROW()-6,1)</f>
        <v>45962</v>
      </c>
      <c r="B132" cm="1">
        <f t="array" ref="B132">INDEX(AAPL_Data[],ROW()-6,2)</f>
        <v>278.58932499999997</v>
      </c>
      <c r="C132" s="21">
        <f t="shared" si="6"/>
        <v>2.8446373623552471E-2</v>
      </c>
      <c r="D132">
        <f>_xlfn.XLOOKUP(A132,GSPC_Data[Date],GSPC_Data[Close])</f>
        <v>683.39</v>
      </c>
      <c r="E132" s="21">
        <f t="shared" si="7"/>
        <v>1.9499750755066138E-3</v>
      </c>
      <c r="F132">
        <f>_xlfn.XLOOKUP(A132,MSFT_Data[Date],MSFT_Data[Close])</f>
        <v>492.01</v>
      </c>
      <c r="G132" s="21">
        <f t="shared" si="8"/>
        <v>-4.9825225468801214E-2</v>
      </c>
    </row>
    <row r="133" spans="1:7" x14ac:dyDescent="0.25">
      <c r="A133" s="27" cm="1">
        <f t="array" ref="A133">INDEX(AAPL_Data[],ROW()-6,1)</f>
        <v>45992</v>
      </c>
      <c r="B133" cm="1">
        <f t="array" ref="B133">INDEX(AAPL_Data[],ROW()-6,2)</f>
        <v>285.92245480000003</v>
      </c>
      <c r="C133" s="21">
        <f t="shared" si="6"/>
        <v>2.6322364649112282E-2</v>
      </c>
      <c r="D133">
        <f>_xlfn.XLOOKUP(A133,GSPC_Data[Date],GSPC_Data[Close])</f>
        <v>681.92</v>
      </c>
      <c r="E133" s="21">
        <f t="shared" si="7"/>
        <v>-2.151041133174362E-3</v>
      </c>
      <c r="F133">
        <f>_xlfn.XLOOKUP(A133,MSFT_Data[Date],MSFT_Data[Close])</f>
        <v>483.62</v>
      </c>
      <c r="G133" s="21">
        <f t="shared" si="8"/>
        <v>-1.7052498932948489E-2</v>
      </c>
    </row>
    <row r="134" spans="1:7" x14ac:dyDescent="0.25">
      <c r="A134" s="27" cm="1">
        <f t="array" ref="A134">INDEX(AAPL_Data[],ROW()-6,1)</f>
        <v>46023</v>
      </c>
      <c r="B134" cm="1">
        <f t="array" ref="B134">INDEX(AAPL_Data[],ROW()-6,2)</f>
        <v>270.75665279999998</v>
      </c>
      <c r="C134" s="21">
        <f t="shared" si="6"/>
        <v>-5.3041661280532768E-2</v>
      </c>
      <c r="D134">
        <f>_xlfn.XLOOKUP(A134,GSPC_Data[Date],GSPC_Data[Close])</f>
        <v>691.97</v>
      </c>
      <c r="E134" s="21">
        <f t="shared" si="7"/>
        <v>1.4737799155326239E-2</v>
      </c>
      <c r="F134">
        <f>_xlfn.XLOOKUP(A134,MSFT_Data[Date],MSFT_Data[Close])</f>
        <v>430.29</v>
      </c>
      <c r="G134" s="21">
        <f t="shared" si="8"/>
        <v>-0.11027252801786523</v>
      </c>
    </row>
    <row r="135" spans="1:7" x14ac:dyDescent="0.25">
      <c r="A135" s="27" cm="1">
        <f t="array" ref="A135">INDEX(AAPL_Data[],ROW()-6,1)</f>
        <v>46054</v>
      </c>
      <c r="B135" cm="1">
        <f t="array" ref="B135">INDEX(AAPL_Data[],ROW()-6,2)</f>
        <v>277.85998540000003</v>
      </c>
      <c r="C135" s="21">
        <f t="shared" si="6"/>
        <v>2.6235117499576521E-2</v>
      </c>
      <c r="D135">
        <f>_xlfn.XLOOKUP(A135,GSPC_Data[Date],GSPC_Data[Close])</f>
        <v>685.99</v>
      </c>
      <c r="E135" s="21">
        <f t="shared" si="7"/>
        <v>-8.6419931499920784E-3</v>
      </c>
      <c r="F135">
        <f>_xlfn.XLOOKUP(A135,MSFT_Data[Date],MSFT_Data[Close])</f>
        <v>392.74</v>
      </c>
      <c r="G135" s="21">
        <f t="shared" si="8"/>
        <v>-8.7266727091031657E-2</v>
      </c>
    </row>
    <row r="136" spans="1:7" x14ac:dyDescent="0.25">
      <c r="A136" s="27" cm="1">
        <f t="array" ref="A136">INDEX(AAPL_Data[],ROW()-6,1)</f>
        <v>46082</v>
      </c>
      <c r="B136" cm="1">
        <f t="array" ref="B136">INDEX(AAPL_Data[],ROW()-6,2)</f>
        <v>264.72000120000001</v>
      </c>
      <c r="C136" s="21">
        <f t="shared" si="6"/>
        <v>-4.7289947781016521E-2</v>
      </c>
      <c r="D136">
        <f>_xlfn.XLOOKUP(A136,GSPC_Data[Date],GSPC_Data[Close])</f>
        <v>650.34</v>
      </c>
      <c r="E136" s="21">
        <f t="shared" si="7"/>
        <v>-5.1968687590198077E-2</v>
      </c>
      <c r="F136">
        <f>_xlfn.XLOOKUP(A136,MSFT_Data[Date],MSFT_Data[Close])</f>
        <v>370.17</v>
      </c>
      <c r="G136" s="21">
        <f t="shared" si="8"/>
        <v>-5.7468045017059613E-2</v>
      </c>
    </row>
  </sheetData>
  <pageMargins left="0.3" right="0.3" top="0.3" bottom="0.3" header="0.3" footer="0.3"/>
  <pageSetup paperSize="9" scale="84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D69F4-8899-4CE7-94C0-CFF3C45CF0A9}">
  <sheetPr codeName="Sheet15">
    <tabColor theme="1"/>
  </sheetPr>
  <dimension ref="A1:F7"/>
  <sheetViews>
    <sheetView workbookViewId="0">
      <selection activeCell="Q7" sqref="Q7"/>
    </sheetView>
  </sheetViews>
  <sheetFormatPr defaultRowHeight="15" x14ac:dyDescent="0.25"/>
  <cols>
    <col min="1" max="1" width="11.5703125" style="32" customWidth="1"/>
    <col min="2" max="2" width="10.7109375" style="32" bestFit="1" customWidth="1"/>
    <col min="3" max="3" width="12.140625" style="32" bestFit="1" customWidth="1"/>
    <col min="4" max="4" width="19.85546875" style="32" bestFit="1" customWidth="1"/>
    <col min="5" max="5" width="14.28515625" style="32" bestFit="1" customWidth="1"/>
    <col min="6" max="6" width="5" style="32" bestFit="1" customWidth="1"/>
    <col min="7" max="16384" width="9.140625" style="32"/>
  </cols>
  <sheetData>
    <row r="1" spans="1:6" ht="23.25" x14ac:dyDescent="0.35">
      <c r="A1" s="33" t="s">
        <v>214</v>
      </c>
    </row>
    <row r="2" spans="1:6" ht="15.75" x14ac:dyDescent="0.25">
      <c r="A2" s="34" t="s">
        <v>207</v>
      </c>
    </row>
    <row r="4" spans="1:6" x14ac:dyDescent="0.25">
      <c r="A4" s="36" t="s">
        <v>208</v>
      </c>
      <c r="B4" s="36" t="s">
        <v>209</v>
      </c>
      <c r="C4" s="36" t="s">
        <v>190</v>
      </c>
      <c r="D4" s="36" t="s">
        <v>210</v>
      </c>
      <c r="E4" s="36" t="s">
        <v>211</v>
      </c>
      <c r="F4" s="36" t="s">
        <v>113</v>
      </c>
    </row>
    <row r="5" spans="1:6" x14ac:dyDescent="0.25">
      <c r="A5" s="35" t="s">
        <v>92</v>
      </c>
      <c r="B5" s="38">
        <f>PORTFOLIO_TRACKER!J9</f>
        <v>0.22094304203767171</v>
      </c>
      <c r="C5" s="35">
        <f>PORTFOLIO_TRACKER!J10</f>
        <v>0.84062491620938884</v>
      </c>
      <c r="D5" s="38">
        <f>PORTFOLIO_TRACKER!J12</f>
        <v>8.0819473367573131</v>
      </c>
      <c r="E5" s="39">
        <f>VALUATION_ENGINE!B17</f>
        <v>3154.2</v>
      </c>
      <c r="F5" s="35">
        <f>PORTFOLIO_TRACKER!J8</f>
        <v>0.43950596564920824</v>
      </c>
    </row>
    <row r="6" spans="1:6" x14ac:dyDescent="0.25">
      <c r="A6" s="35" t="s">
        <v>188</v>
      </c>
      <c r="B6" s="38">
        <f>PORTFOLIO_TRACKER!K9</f>
        <v>0.21315907933537137</v>
      </c>
      <c r="C6" s="35">
        <f>PORTFOLIO_TRACKER!K10</f>
        <v>0.8280605653672003</v>
      </c>
      <c r="D6" s="38">
        <f>PORTFOLIO_TRACKER!K12</f>
        <v>7.3843714609286533</v>
      </c>
      <c r="E6" s="39">
        <f>3071</f>
        <v>3071</v>
      </c>
      <c r="F6" s="35">
        <f>PORTFOLIO_TRACKER!K8</f>
        <v>0.97360337459080037</v>
      </c>
    </row>
    <row r="7" spans="1:6" x14ac:dyDescent="0.25">
      <c r="A7" s="35" t="s">
        <v>212</v>
      </c>
      <c r="B7" s="38">
        <f>STDEV(PORTFOLIO_TRACKER!E7:E128)*SQRT(12)</f>
        <v>0.15549755677224089</v>
      </c>
      <c r="C7" s="35">
        <f>(AVERAGE(PORTFOLIO_TRACKER!E7:E128)*12-RiskFreeRate)/B7</f>
        <v>0.50694659407174358</v>
      </c>
      <c r="D7" s="38" t="e">
        <f>(PORTFOLIO_TRACKER!D128-PORTFOLIO_TRACKER!#REF!)/PORTFOLIO_TRACKER!#REF!</f>
        <v>#REF!</v>
      </c>
      <c r="E7" s="39">
        <v>50000</v>
      </c>
      <c r="F7" s="35">
        <v>1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52003-990B-486D-B91A-C86BFF36B68A}">
  <sheetPr codeName="Sheet14">
    <tabColor theme="0" tint="-0.34998626667073579"/>
  </sheetPr>
  <dimension ref="A1:F293"/>
  <sheetViews>
    <sheetView workbookViewId="0">
      <selection activeCell="H24" sqref="H24"/>
    </sheetView>
  </sheetViews>
  <sheetFormatPr defaultRowHeight="15" x14ac:dyDescent="0.25"/>
  <cols>
    <col min="1" max="1" width="21.7109375" customWidth="1"/>
    <col min="2" max="2" width="23.5703125" customWidth="1"/>
    <col min="5" max="5" width="10.85546875" customWidth="1"/>
    <col min="6" max="6" width="13.42578125" customWidth="1"/>
  </cols>
  <sheetData>
    <row r="1" spans="1:6" ht="21" x14ac:dyDescent="0.35">
      <c r="A1" s="30" t="s">
        <v>194</v>
      </c>
    </row>
    <row r="2" spans="1:6" ht="21" x14ac:dyDescent="0.35">
      <c r="A2" s="30" t="s">
        <v>195</v>
      </c>
    </row>
    <row r="4" spans="1:6" x14ac:dyDescent="0.25">
      <c r="A4" s="26" t="s">
        <v>196</v>
      </c>
      <c r="B4" s="26" t="s">
        <v>197</v>
      </c>
      <c r="C4" s="26" t="s">
        <v>198</v>
      </c>
      <c r="D4" s="26" t="s">
        <v>199</v>
      </c>
      <c r="E4" s="26" t="s">
        <v>200</v>
      </c>
      <c r="F4" s="26" t="s">
        <v>201</v>
      </c>
    </row>
    <row r="5" spans="1:6" x14ac:dyDescent="0.25">
      <c r="A5" s="31">
        <v>46174.501006944447</v>
      </c>
      <c r="B5" t="s">
        <v>204</v>
      </c>
      <c r="C5" t="s">
        <v>205</v>
      </c>
      <c r="D5" t="s">
        <v>203</v>
      </c>
      <c r="E5" t="s">
        <v>203</v>
      </c>
      <c r="F5" t="s">
        <v>206</v>
      </c>
    </row>
    <row r="6" spans="1:6" x14ac:dyDescent="0.25">
      <c r="A6" s="31">
        <v>46174.502314814818</v>
      </c>
      <c r="B6" t="s">
        <v>204</v>
      </c>
      <c r="C6" t="s">
        <v>205</v>
      </c>
      <c r="E6" t="s">
        <v>165</v>
      </c>
      <c r="F6" t="s">
        <v>206</v>
      </c>
    </row>
    <row r="7" spans="1:6" x14ac:dyDescent="0.25">
      <c r="A7" s="31">
        <v>46177.640069444446</v>
      </c>
      <c r="B7" t="s">
        <v>216</v>
      </c>
      <c r="C7" t="s">
        <v>250</v>
      </c>
      <c r="E7" t="s">
        <v>249</v>
      </c>
      <c r="F7" t="s">
        <v>206</v>
      </c>
    </row>
    <row r="8" spans="1:6" x14ac:dyDescent="0.25">
      <c r="A8" s="31">
        <v>46177.645115740743</v>
      </c>
      <c r="B8" t="s">
        <v>204</v>
      </c>
      <c r="C8" t="s">
        <v>205</v>
      </c>
      <c r="D8" t="s">
        <v>203</v>
      </c>
      <c r="E8" t="s">
        <v>202</v>
      </c>
      <c r="F8" t="s">
        <v>206</v>
      </c>
    </row>
    <row r="9" spans="1:6" x14ac:dyDescent="0.25">
      <c r="A9" s="31">
        <v>46177.645520833335</v>
      </c>
      <c r="B9" t="s">
        <v>204</v>
      </c>
      <c r="C9" t="s">
        <v>205</v>
      </c>
      <c r="D9">
        <v>101.64149009729462</v>
      </c>
      <c r="E9" t="s">
        <v>165</v>
      </c>
      <c r="F9" t="s">
        <v>206</v>
      </c>
    </row>
    <row r="10" spans="1:6" x14ac:dyDescent="0.25">
      <c r="A10" s="31">
        <v>46177.649710648147</v>
      </c>
      <c r="B10" t="s">
        <v>216</v>
      </c>
      <c r="C10" t="s">
        <v>252</v>
      </c>
      <c r="E10" t="s">
        <v>251</v>
      </c>
      <c r="F10" t="s">
        <v>206</v>
      </c>
    </row>
    <row r="11" spans="1:6" x14ac:dyDescent="0.25">
      <c r="A11" s="31">
        <v>46177.650069444448</v>
      </c>
      <c r="B11" t="s">
        <v>216</v>
      </c>
      <c r="C11" t="s">
        <v>254</v>
      </c>
      <c r="E11" t="s">
        <v>253</v>
      </c>
      <c r="F11" t="s">
        <v>206</v>
      </c>
    </row>
    <row r="12" spans="1:6" x14ac:dyDescent="0.25">
      <c r="A12" s="31">
        <v>46177.650439814817</v>
      </c>
      <c r="B12" t="s">
        <v>216</v>
      </c>
      <c r="C12" t="s">
        <v>252</v>
      </c>
      <c r="D12" t="s">
        <v>251</v>
      </c>
      <c r="E12" t="s">
        <v>255</v>
      </c>
      <c r="F12" t="s">
        <v>206</v>
      </c>
    </row>
    <row r="13" spans="1:6" x14ac:dyDescent="0.25">
      <c r="A13" s="31">
        <v>46177.650717592594</v>
      </c>
      <c r="B13" t="s">
        <v>216</v>
      </c>
      <c r="C13" t="s">
        <v>256</v>
      </c>
      <c r="F13" t="s">
        <v>206</v>
      </c>
    </row>
    <row r="14" spans="1:6" x14ac:dyDescent="0.25">
      <c r="A14" s="31">
        <v>46177.650763888887</v>
      </c>
      <c r="B14" t="s">
        <v>216</v>
      </c>
      <c r="C14" t="s">
        <v>257</v>
      </c>
      <c r="E14" t="s">
        <v>203</v>
      </c>
      <c r="F14" t="s">
        <v>206</v>
      </c>
    </row>
    <row r="15" spans="1:6" x14ac:dyDescent="0.25">
      <c r="A15" s="31">
        <v>46177.65079861111</v>
      </c>
      <c r="B15" t="s">
        <v>216</v>
      </c>
      <c r="C15" t="s">
        <v>258</v>
      </c>
      <c r="F15" t="s">
        <v>206</v>
      </c>
    </row>
    <row r="16" spans="1:6" x14ac:dyDescent="0.25">
      <c r="A16" s="31">
        <v>46177.650879629633</v>
      </c>
      <c r="B16" t="s">
        <v>216</v>
      </c>
      <c r="C16" t="s">
        <v>257</v>
      </c>
      <c r="D16" t="s">
        <v>203</v>
      </c>
      <c r="E16" t="s">
        <v>202</v>
      </c>
      <c r="F16" t="s">
        <v>206</v>
      </c>
    </row>
    <row r="17" spans="1:6" x14ac:dyDescent="0.25">
      <c r="A17" s="31">
        <v>46177.650902777779</v>
      </c>
      <c r="B17" t="s">
        <v>216</v>
      </c>
      <c r="C17" t="s">
        <v>258</v>
      </c>
      <c r="E17" t="s">
        <v>203</v>
      </c>
      <c r="F17" t="s">
        <v>206</v>
      </c>
    </row>
    <row r="18" spans="1:6" x14ac:dyDescent="0.25">
      <c r="A18" s="31">
        <v>46177.650949074072</v>
      </c>
      <c r="B18" t="s">
        <v>216</v>
      </c>
      <c r="C18" t="s">
        <v>259</v>
      </c>
      <c r="E18" t="s">
        <v>165</v>
      </c>
      <c r="F18" t="s">
        <v>206</v>
      </c>
    </row>
    <row r="19" spans="1:6" x14ac:dyDescent="0.25">
      <c r="A19" s="31">
        <v>46177.651030092595</v>
      </c>
      <c r="B19" t="s">
        <v>216</v>
      </c>
      <c r="C19" t="s">
        <v>261</v>
      </c>
      <c r="E19" t="s">
        <v>260</v>
      </c>
      <c r="F19" t="s">
        <v>206</v>
      </c>
    </row>
    <row r="20" spans="1:6" x14ac:dyDescent="0.25">
      <c r="A20" s="31">
        <v>46177.65115740741</v>
      </c>
      <c r="B20" t="s">
        <v>216</v>
      </c>
      <c r="C20" t="s">
        <v>263</v>
      </c>
      <c r="E20" t="s">
        <v>262</v>
      </c>
      <c r="F20" t="s">
        <v>206</v>
      </c>
    </row>
    <row r="21" spans="1:6" x14ac:dyDescent="0.25">
      <c r="A21" s="31">
        <v>46177.651620370372</v>
      </c>
      <c r="B21" t="s">
        <v>216</v>
      </c>
      <c r="C21" t="s">
        <v>264</v>
      </c>
      <c r="E21" t="s">
        <v>248</v>
      </c>
      <c r="F21" t="s">
        <v>206</v>
      </c>
    </row>
    <row r="22" spans="1:6" x14ac:dyDescent="0.25">
      <c r="A22" s="31">
        <v>46177.651678240742</v>
      </c>
      <c r="B22" t="s">
        <v>216</v>
      </c>
      <c r="C22" t="s">
        <v>266</v>
      </c>
      <c r="E22" t="s">
        <v>265</v>
      </c>
      <c r="F22" t="s">
        <v>206</v>
      </c>
    </row>
    <row r="23" spans="1:6" x14ac:dyDescent="0.25">
      <c r="A23" s="31">
        <v>46177.651759259257</v>
      </c>
      <c r="B23" t="s">
        <v>216</v>
      </c>
      <c r="C23" t="s">
        <v>267</v>
      </c>
      <c r="E23">
        <v>210</v>
      </c>
      <c r="F23" t="s">
        <v>206</v>
      </c>
    </row>
    <row r="24" spans="1:6" x14ac:dyDescent="0.25">
      <c r="A24" s="31">
        <v>46177.651817129627</v>
      </c>
      <c r="B24" t="s">
        <v>216</v>
      </c>
      <c r="C24" t="s">
        <v>268</v>
      </c>
      <c r="E24">
        <v>101</v>
      </c>
      <c r="F24" t="s">
        <v>206</v>
      </c>
    </row>
    <row r="25" spans="1:6" x14ac:dyDescent="0.25">
      <c r="A25" s="31">
        <v>46177.651863425926</v>
      </c>
      <c r="B25" t="s">
        <v>216</v>
      </c>
      <c r="C25" t="s">
        <v>269</v>
      </c>
      <c r="E25">
        <v>143</v>
      </c>
      <c r="F25" t="s">
        <v>206</v>
      </c>
    </row>
    <row r="26" spans="1:6" x14ac:dyDescent="0.25">
      <c r="A26" s="31">
        <v>46177.651921296296</v>
      </c>
      <c r="B26" t="s">
        <v>216</v>
      </c>
      <c r="C26" t="s">
        <v>270</v>
      </c>
      <c r="E26">
        <v>179</v>
      </c>
      <c r="F26" t="s">
        <v>206</v>
      </c>
    </row>
    <row r="27" spans="1:6" x14ac:dyDescent="0.25">
      <c r="A27" s="31">
        <v>46177.652326388888</v>
      </c>
      <c r="B27" t="s">
        <v>216</v>
      </c>
      <c r="C27" t="s">
        <v>271</v>
      </c>
      <c r="E27">
        <v>-0.51904761904761898</v>
      </c>
      <c r="F27" t="s">
        <v>206</v>
      </c>
    </row>
    <row r="28" spans="1:6" x14ac:dyDescent="0.25">
      <c r="A28" s="31">
        <v>46177.654398148145</v>
      </c>
      <c r="B28" t="s">
        <v>216</v>
      </c>
      <c r="C28" t="s">
        <v>272</v>
      </c>
      <c r="E28">
        <v>80</v>
      </c>
      <c r="F28" t="s">
        <v>206</v>
      </c>
    </row>
    <row r="29" spans="1:6" x14ac:dyDescent="0.25">
      <c r="A29" s="31">
        <v>46177.654467592591</v>
      </c>
      <c r="B29" t="s">
        <v>216</v>
      </c>
      <c r="C29" t="s">
        <v>273</v>
      </c>
      <c r="E29">
        <v>230</v>
      </c>
      <c r="F29" t="s">
        <v>206</v>
      </c>
    </row>
    <row r="30" spans="1:6" x14ac:dyDescent="0.25">
      <c r="A30" s="31">
        <v>46177.655706018515</v>
      </c>
      <c r="B30" t="s">
        <v>216</v>
      </c>
      <c r="C30" t="s">
        <v>274</v>
      </c>
      <c r="E30">
        <v>0.14000000000000001</v>
      </c>
      <c r="F30" t="s">
        <v>206</v>
      </c>
    </row>
    <row r="31" spans="1:6" x14ac:dyDescent="0.25">
      <c r="A31" s="31">
        <v>46177.655960648146</v>
      </c>
      <c r="B31" t="s">
        <v>216</v>
      </c>
      <c r="C31" t="s">
        <v>273</v>
      </c>
      <c r="D31">
        <v>230</v>
      </c>
      <c r="E31">
        <v>210</v>
      </c>
      <c r="F31" t="s">
        <v>206</v>
      </c>
    </row>
    <row r="32" spans="1:6" x14ac:dyDescent="0.25">
      <c r="A32" s="31">
        <v>46177.656527777777</v>
      </c>
      <c r="B32" t="s">
        <v>216</v>
      </c>
      <c r="C32" t="s">
        <v>276</v>
      </c>
      <c r="E32" t="s">
        <v>275</v>
      </c>
      <c r="F32" t="s">
        <v>206</v>
      </c>
    </row>
    <row r="33" spans="1:6" x14ac:dyDescent="0.25">
      <c r="A33" s="31">
        <v>46177.6565625</v>
      </c>
      <c r="B33" t="s">
        <v>216</v>
      </c>
      <c r="C33" t="s">
        <v>277</v>
      </c>
      <c r="E33" t="s">
        <v>215</v>
      </c>
      <c r="F33" t="s">
        <v>206</v>
      </c>
    </row>
    <row r="34" spans="1:6" x14ac:dyDescent="0.25">
      <c r="A34" s="31">
        <v>46177.656655092593</v>
      </c>
      <c r="B34" t="s">
        <v>216</v>
      </c>
      <c r="C34" t="s">
        <v>277</v>
      </c>
      <c r="D34" t="s">
        <v>215</v>
      </c>
      <c r="E34">
        <v>0.83846153846153848</v>
      </c>
      <c r="F34" t="s">
        <v>206</v>
      </c>
    </row>
    <row r="35" spans="1:6" x14ac:dyDescent="0.25">
      <c r="A35" s="31">
        <v>46177.660555555558</v>
      </c>
      <c r="B35" t="s">
        <v>216</v>
      </c>
      <c r="C35" t="s">
        <v>279</v>
      </c>
      <c r="D35">
        <v>80</v>
      </c>
      <c r="E35">
        <v>90</v>
      </c>
      <c r="F35" t="s">
        <v>206</v>
      </c>
    </row>
    <row r="36" spans="1:6" x14ac:dyDescent="0.25">
      <c r="A36" s="31">
        <v>46177.661840277775</v>
      </c>
      <c r="B36" t="s">
        <v>216</v>
      </c>
      <c r="C36" t="s">
        <v>259</v>
      </c>
      <c r="D36" t="s">
        <v>202</v>
      </c>
      <c r="E36" t="s">
        <v>202</v>
      </c>
      <c r="F36" t="s">
        <v>206</v>
      </c>
    </row>
    <row r="37" spans="1:6" x14ac:dyDescent="0.25">
      <c r="A37" s="31">
        <v>46177.662048611113</v>
      </c>
      <c r="B37" t="s">
        <v>216</v>
      </c>
      <c r="C37" t="s">
        <v>259</v>
      </c>
      <c r="D37" t="s">
        <v>202</v>
      </c>
      <c r="E37" t="s">
        <v>280</v>
      </c>
      <c r="F37" t="s">
        <v>206</v>
      </c>
    </row>
    <row r="38" spans="1:6" x14ac:dyDescent="0.25">
      <c r="A38" s="31">
        <v>46177.662233796298</v>
      </c>
      <c r="B38" t="s">
        <v>216</v>
      </c>
      <c r="C38" t="s">
        <v>259</v>
      </c>
      <c r="D38" t="s">
        <v>280</v>
      </c>
      <c r="E38" t="s">
        <v>202</v>
      </c>
      <c r="F38" t="s">
        <v>206</v>
      </c>
    </row>
    <row r="39" spans="1:6" x14ac:dyDescent="0.25">
      <c r="A39" s="31">
        <v>46178.452951388892</v>
      </c>
      <c r="B39" t="s">
        <v>282</v>
      </c>
      <c r="C39" t="s">
        <v>283</v>
      </c>
      <c r="E39" t="s">
        <v>281</v>
      </c>
      <c r="F39" t="s">
        <v>206</v>
      </c>
    </row>
    <row r="40" spans="1:6" x14ac:dyDescent="0.25">
      <c r="A40" s="31">
        <v>46178.453136574077</v>
      </c>
      <c r="B40" t="s">
        <v>282</v>
      </c>
      <c r="C40" t="s">
        <v>285</v>
      </c>
      <c r="E40" t="s">
        <v>284</v>
      </c>
      <c r="F40" t="s">
        <v>206</v>
      </c>
    </row>
    <row r="41" spans="1:6" x14ac:dyDescent="0.25">
      <c r="A41" s="31">
        <v>46178.453298611108</v>
      </c>
      <c r="B41" t="s">
        <v>282</v>
      </c>
      <c r="C41" t="s">
        <v>287</v>
      </c>
      <c r="E41" t="s">
        <v>286</v>
      </c>
      <c r="F41" t="s">
        <v>206</v>
      </c>
    </row>
    <row r="42" spans="1:6" x14ac:dyDescent="0.25">
      <c r="A42" s="31">
        <v>46178.453564814816</v>
      </c>
      <c r="B42" t="s">
        <v>282</v>
      </c>
      <c r="C42" t="s">
        <v>289</v>
      </c>
      <c r="E42" t="s">
        <v>288</v>
      </c>
      <c r="F42" t="s">
        <v>206</v>
      </c>
    </row>
    <row r="43" spans="1:6" x14ac:dyDescent="0.25">
      <c r="A43" s="31">
        <v>46178.454062500001</v>
      </c>
      <c r="B43" t="s">
        <v>282</v>
      </c>
      <c r="C43" t="s">
        <v>291</v>
      </c>
      <c r="E43" t="s">
        <v>290</v>
      </c>
      <c r="F43" t="s">
        <v>206</v>
      </c>
    </row>
    <row r="44" spans="1:6" x14ac:dyDescent="0.25">
      <c r="A44" s="31">
        <v>46178.454409722224</v>
      </c>
      <c r="B44" t="s">
        <v>282</v>
      </c>
      <c r="C44" t="s">
        <v>292</v>
      </c>
      <c r="E44" s="1">
        <v>46178</v>
      </c>
      <c r="F44" t="s">
        <v>206</v>
      </c>
    </row>
    <row r="45" spans="1:6" x14ac:dyDescent="0.25">
      <c r="A45" s="31">
        <v>46178.454641203702</v>
      </c>
      <c r="B45" t="s">
        <v>282</v>
      </c>
      <c r="C45" t="s">
        <v>293</v>
      </c>
      <c r="E45" t="s">
        <v>294</v>
      </c>
      <c r="F45" t="s">
        <v>206</v>
      </c>
    </row>
    <row r="46" spans="1:6" x14ac:dyDescent="0.25">
      <c r="A46" s="31">
        <v>46178.454872685186</v>
      </c>
      <c r="B46" t="s">
        <v>282</v>
      </c>
      <c r="C46" t="s">
        <v>296</v>
      </c>
      <c r="E46" t="s">
        <v>295</v>
      </c>
      <c r="F46" t="s">
        <v>206</v>
      </c>
    </row>
    <row r="47" spans="1:6" x14ac:dyDescent="0.25">
      <c r="A47" s="31">
        <v>46178.455011574071</v>
      </c>
      <c r="B47" t="s">
        <v>282</v>
      </c>
      <c r="C47" t="s">
        <v>296</v>
      </c>
      <c r="D47" t="s">
        <v>295</v>
      </c>
      <c r="E47" t="s">
        <v>295</v>
      </c>
      <c r="F47" t="s">
        <v>206</v>
      </c>
    </row>
    <row r="48" spans="1:6" x14ac:dyDescent="0.25">
      <c r="A48" s="31">
        <v>46178.455023148148</v>
      </c>
      <c r="B48" t="s">
        <v>282</v>
      </c>
      <c r="C48" t="s">
        <v>297</v>
      </c>
      <c r="E48" t="e">
        <v>#NAME?</v>
      </c>
      <c r="F48" t="s">
        <v>206</v>
      </c>
    </row>
    <row r="49" spans="1:6" x14ac:dyDescent="0.25">
      <c r="A49" s="31">
        <v>46178.455324074072</v>
      </c>
      <c r="B49" t="s">
        <v>282</v>
      </c>
      <c r="C49" t="s">
        <v>297</v>
      </c>
      <c r="D49" t="e">
        <v>#NAME?</v>
      </c>
      <c r="E49" t="s">
        <v>298</v>
      </c>
      <c r="F49" t="s">
        <v>206</v>
      </c>
    </row>
    <row r="50" spans="1:6" x14ac:dyDescent="0.25">
      <c r="A50" s="31">
        <v>46178.455451388887</v>
      </c>
      <c r="B50" t="s">
        <v>282</v>
      </c>
      <c r="C50" t="s">
        <v>299</v>
      </c>
      <c r="E50" t="s">
        <v>100</v>
      </c>
      <c r="F50" t="s">
        <v>206</v>
      </c>
    </row>
    <row r="51" spans="1:6" x14ac:dyDescent="0.25">
      <c r="A51" s="31">
        <v>46178.455763888887</v>
      </c>
      <c r="B51" t="s">
        <v>282</v>
      </c>
      <c r="C51" t="s">
        <v>300</v>
      </c>
      <c r="F51" t="s">
        <v>206</v>
      </c>
    </row>
    <row r="52" spans="1:6" x14ac:dyDescent="0.25">
      <c r="A52" s="31">
        <v>46178.456111111111</v>
      </c>
      <c r="B52" t="s">
        <v>282</v>
      </c>
      <c r="C52" t="s">
        <v>300</v>
      </c>
      <c r="E52" t="s">
        <v>165</v>
      </c>
      <c r="F52" t="s">
        <v>206</v>
      </c>
    </row>
    <row r="53" spans="1:6" x14ac:dyDescent="0.25">
      <c r="A53" s="31">
        <v>46178.456307870372</v>
      </c>
      <c r="B53" t="s">
        <v>282</v>
      </c>
      <c r="C53" t="s">
        <v>205</v>
      </c>
      <c r="E53" t="s">
        <v>301</v>
      </c>
      <c r="F53" t="s">
        <v>206</v>
      </c>
    </row>
    <row r="54" spans="1:6" x14ac:dyDescent="0.25">
      <c r="A54" s="31">
        <v>46178.456655092596</v>
      </c>
      <c r="B54" t="s">
        <v>282</v>
      </c>
      <c r="C54" t="s">
        <v>303</v>
      </c>
      <c r="E54" t="s">
        <v>302</v>
      </c>
      <c r="F54" t="s">
        <v>206</v>
      </c>
    </row>
    <row r="55" spans="1:6" x14ac:dyDescent="0.25">
      <c r="A55" s="31">
        <v>46178.456678240742</v>
      </c>
      <c r="B55" t="s">
        <v>282</v>
      </c>
      <c r="C55" t="s">
        <v>305</v>
      </c>
      <c r="E55" t="s">
        <v>304</v>
      </c>
      <c r="F55" t="s">
        <v>206</v>
      </c>
    </row>
    <row r="56" spans="1:6" x14ac:dyDescent="0.25">
      <c r="A56" s="31">
        <v>46178.457118055558</v>
      </c>
      <c r="B56" t="s">
        <v>282</v>
      </c>
      <c r="C56" t="s">
        <v>307</v>
      </c>
      <c r="E56" t="s">
        <v>306</v>
      </c>
      <c r="F56" t="s">
        <v>206</v>
      </c>
    </row>
    <row r="57" spans="1:6" x14ac:dyDescent="0.25">
      <c r="A57" s="31">
        <v>46178.457233796296</v>
      </c>
      <c r="B57" t="s">
        <v>282</v>
      </c>
      <c r="C57" t="s">
        <v>309</v>
      </c>
      <c r="E57" t="s">
        <v>308</v>
      </c>
      <c r="F57" t="s">
        <v>206</v>
      </c>
    </row>
    <row r="58" spans="1:6" x14ac:dyDescent="0.25">
      <c r="A58" s="31">
        <v>46178.457349537035</v>
      </c>
      <c r="B58" t="s">
        <v>282</v>
      </c>
      <c r="C58" t="s">
        <v>309</v>
      </c>
      <c r="D58" t="s">
        <v>308</v>
      </c>
      <c r="E58" t="s">
        <v>308</v>
      </c>
      <c r="F58" t="s">
        <v>206</v>
      </c>
    </row>
    <row r="59" spans="1:6" x14ac:dyDescent="0.25">
      <c r="A59" s="31">
        <v>46178.457361111112</v>
      </c>
      <c r="B59" t="s">
        <v>282</v>
      </c>
      <c r="C59" t="s">
        <v>310</v>
      </c>
      <c r="E59" t="s">
        <v>86</v>
      </c>
      <c r="F59" t="s">
        <v>206</v>
      </c>
    </row>
    <row r="60" spans="1:6" x14ac:dyDescent="0.25">
      <c r="A60" s="31">
        <v>46178.457488425927</v>
      </c>
      <c r="B60" t="s">
        <v>282</v>
      </c>
      <c r="C60" t="s">
        <v>312</v>
      </c>
      <c r="E60" t="s">
        <v>311</v>
      </c>
      <c r="F60" t="s">
        <v>206</v>
      </c>
    </row>
    <row r="61" spans="1:6" x14ac:dyDescent="0.25">
      <c r="A61" s="31">
        <v>46178.457592592589</v>
      </c>
      <c r="B61" t="s">
        <v>282</v>
      </c>
      <c r="C61" t="s">
        <v>312</v>
      </c>
      <c r="D61" t="s">
        <v>311</v>
      </c>
      <c r="E61" t="s">
        <v>311</v>
      </c>
      <c r="F61" t="s">
        <v>206</v>
      </c>
    </row>
    <row r="62" spans="1:6" x14ac:dyDescent="0.25">
      <c r="A62" s="31">
        <v>46178.457604166666</v>
      </c>
      <c r="B62" t="s">
        <v>282</v>
      </c>
      <c r="C62" t="s">
        <v>314</v>
      </c>
      <c r="E62" t="s">
        <v>313</v>
      </c>
      <c r="F62" t="s">
        <v>206</v>
      </c>
    </row>
    <row r="63" spans="1:6" x14ac:dyDescent="0.25">
      <c r="A63" s="31">
        <v>46178.457754629628</v>
      </c>
      <c r="B63" t="s">
        <v>282</v>
      </c>
      <c r="C63" t="s">
        <v>316</v>
      </c>
      <c r="E63" t="s">
        <v>315</v>
      </c>
      <c r="F63" t="s">
        <v>206</v>
      </c>
    </row>
    <row r="64" spans="1:6" x14ac:dyDescent="0.25">
      <c r="A64" s="31">
        <v>46178.458356481482</v>
      </c>
      <c r="B64" t="s">
        <v>282</v>
      </c>
      <c r="C64" t="s">
        <v>317</v>
      </c>
      <c r="E64" t="s">
        <v>143</v>
      </c>
      <c r="F64" t="s">
        <v>206</v>
      </c>
    </row>
    <row r="65" spans="1:6" x14ac:dyDescent="0.25">
      <c r="A65" s="31">
        <v>46178.458518518521</v>
      </c>
      <c r="B65" t="s">
        <v>282</v>
      </c>
      <c r="C65" t="s">
        <v>318</v>
      </c>
      <c r="E65" t="s">
        <v>149</v>
      </c>
      <c r="F65" t="s">
        <v>206</v>
      </c>
    </row>
    <row r="66" spans="1:6" x14ac:dyDescent="0.25">
      <c r="A66" s="31">
        <v>46178.458622685182</v>
      </c>
      <c r="B66" t="s">
        <v>282</v>
      </c>
      <c r="C66" t="s">
        <v>318</v>
      </c>
      <c r="D66" t="s">
        <v>149</v>
      </c>
      <c r="E66" t="s">
        <v>149</v>
      </c>
      <c r="F66" t="s">
        <v>206</v>
      </c>
    </row>
    <row r="67" spans="1:6" x14ac:dyDescent="0.25">
      <c r="A67" s="31">
        <v>46178.458645833336</v>
      </c>
      <c r="B67" t="s">
        <v>282</v>
      </c>
      <c r="C67" t="s">
        <v>319</v>
      </c>
      <c r="E67" t="s">
        <v>114</v>
      </c>
      <c r="F67" t="s">
        <v>206</v>
      </c>
    </row>
    <row r="68" spans="1:6" x14ac:dyDescent="0.25">
      <c r="A68" s="31">
        <v>46178.458796296298</v>
      </c>
      <c r="B68" t="s">
        <v>282</v>
      </c>
      <c r="C68" t="s">
        <v>321</v>
      </c>
      <c r="E68" t="s">
        <v>320</v>
      </c>
      <c r="F68" t="s">
        <v>206</v>
      </c>
    </row>
    <row r="69" spans="1:6" x14ac:dyDescent="0.25">
      <c r="A69" s="31">
        <v>46178.458923611113</v>
      </c>
      <c r="B69" t="s">
        <v>282</v>
      </c>
      <c r="C69" t="s">
        <v>322</v>
      </c>
      <c r="E69" t="s">
        <v>145</v>
      </c>
      <c r="F69" t="s">
        <v>206</v>
      </c>
    </row>
    <row r="70" spans="1:6" x14ac:dyDescent="0.25">
      <c r="A70" s="31">
        <v>46178.459178240744</v>
      </c>
      <c r="B70" t="s">
        <v>282</v>
      </c>
      <c r="C70" t="s">
        <v>323</v>
      </c>
      <c r="E70" t="s">
        <v>109</v>
      </c>
      <c r="F70" t="s">
        <v>206</v>
      </c>
    </row>
    <row r="71" spans="1:6" x14ac:dyDescent="0.25">
      <c r="A71" s="31">
        <v>46178.459282407406</v>
      </c>
      <c r="B71" t="s">
        <v>282</v>
      </c>
      <c r="C71" t="s">
        <v>323</v>
      </c>
      <c r="D71" t="s">
        <v>109</v>
      </c>
      <c r="E71" t="s">
        <v>109</v>
      </c>
      <c r="F71" t="s">
        <v>206</v>
      </c>
    </row>
    <row r="72" spans="1:6" x14ac:dyDescent="0.25">
      <c r="A72" s="31">
        <v>46178.459293981483</v>
      </c>
      <c r="B72" t="s">
        <v>282</v>
      </c>
      <c r="C72" t="s">
        <v>324</v>
      </c>
      <c r="E72" t="s">
        <v>185</v>
      </c>
      <c r="F72" t="s">
        <v>206</v>
      </c>
    </row>
    <row r="73" spans="1:6" x14ac:dyDescent="0.25">
      <c r="A73" s="31">
        <v>46178.459409722222</v>
      </c>
      <c r="B73" t="s">
        <v>282</v>
      </c>
      <c r="C73" t="s">
        <v>325</v>
      </c>
      <c r="E73" t="s">
        <v>113</v>
      </c>
      <c r="F73" t="s">
        <v>206</v>
      </c>
    </row>
    <row r="74" spans="1:6" x14ac:dyDescent="0.25">
      <c r="A74" s="31">
        <v>46178.459513888891</v>
      </c>
      <c r="B74" t="s">
        <v>282</v>
      </c>
      <c r="C74" t="s">
        <v>326</v>
      </c>
      <c r="E74" t="s">
        <v>190</v>
      </c>
      <c r="F74" t="s">
        <v>206</v>
      </c>
    </row>
    <row r="75" spans="1:6" x14ac:dyDescent="0.25">
      <c r="A75" s="31">
        <v>46178.459618055553</v>
      </c>
      <c r="B75" t="s">
        <v>282</v>
      </c>
      <c r="C75" t="s">
        <v>328</v>
      </c>
      <c r="E75" t="s">
        <v>327</v>
      </c>
      <c r="F75" t="s">
        <v>206</v>
      </c>
    </row>
    <row r="76" spans="1:6" x14ac:dyDescent="0.25">
      <c r="A76" s="31">
        <v>46178.459733796299</v>
      </c>
      <c r="B76" t="s">
        <v>282</v>
      </c>
      <c r="C76" t="s">
        <v>329</v>
      </c>
      <c r="E76" t="s">
        <v>192</v>
      </c>
      <c r="F76" t="s">
        <v>206</v>
      </c>
    </row>
    <row r="77" spans="1:6" x14ac:dyDescent="0.25">
      <c r="A77" s="31">
        <v>46178.465416666666</v>
      </c>
      <c r="B77" t="s">
        <v>282</v>
      </c>
      <c r="C77" t="s">
        <v>330</v>
      </c>
      <c r="E77">
        <v>416.161</v>
      </c>
      <c r="F77" t="s">
        <v>206</v>
      </c>
    </row>
    <row r="78" spans="1:6" x14ac:dyDescent="0.25">
      <c r="A78" s="31">
        <v>46178.465914351851</v>
      </c>
      <c r="B78" t="s">
        <v>282</v>
      </c>
      <c r="C78" t="s">
        <v>331</v>
      </c>
      <c r="E78">
        <v>112.01</v>
      </c>
      <c r="F78" t="s">
        <v>206</v>
      </c>
    </row>
    <row r="79" spans="1:6" x14ac:dyDescent="0.25">
      <c r="A79" s="31">
        <v>46178.466226851851</v>
      </c>
      <c r="B79" t="s">
        <v>282</v>
      </c>
      <c r="C79" t="s">
        <v>332</v>
      </c>
      <c r="E79">
        <v>99.616000000000014</v>
      </c>
      <c r="F79" t="s">
        <v>206</v>
      </c>
    </row>
    <row r="80" spans="1:6" x14ac:dyDescent="0.25">
      <c r="A80" s="31">
        <v>46178.466527777775</v>
      </c>
      <c r="B80" t="s">
        <v>282</v>
      </c>
      <c r="C80" t="s">
        <v>333</v>
      </c>
      <c r="E80">
        <v>7.49</v>
      </c>
      <c r="F80" t="s">
        <v>206</v>
      </c>
    </row>
    <row r="81" spans="1:6" x14ac:dyDescent="0.25">
      <c r="A81" s="31">
        <v>46178.466851851852</v>
      </c>
      <c r="B81" t="s">
        <v>282</v>
      </c>
      <c r="C81" t="s">
        <v>334</v>
      </c>
      <c r="E81">
        <v>0.46905164107160446</v>
      </c>
      <c r="F81" t="s">
        <v>206</v>
      </c>
    </row>
    <row r="82" spans="1:6" x14ac:dyDescent="0.25">
      <c r="A82" s="31">
        <v>46178.467002314814</v>
      </c>
      <c r="B82" t="s">
        <v>282</v>
      </c>
      <c r="C82" t="s">
        <v>335</v>
      </c>
      <c r="E82">
        <v>0.26915064121818238</v>
      </c>
      <c r="F82" t="s">
        <v>206</v>
      </c>
    </row>
    <row r="83" spans="1:6" x14ac:dyDescent="0.25">
      <c r="A83" s="31">
        <v>46178.467268518521</v>
      </c>
      <c r="B83" t="s">
        <v>282</v>
      </c>
      <c r="C83" t="s">
        <v>336</v>
      </c>
      <c r="E83">
        <v>179.32810571975412</v>
      </c>
      <c r="F83" t="s">
        <v>206</v>
      </c>
    </row>
    <row r="84" spans="1:6" x14ac:dyDescent="0.25">
      <c r="A84" s="31">
        <v>46178.467407407406</v>
      </c>
      <c r="B84" t="s">
        <v>282</v>
      </c>
      <c r="C84" t="s">
        <v>337</v>
      </c>
      <c r="E84">
        <v>210</v>
      </c>
      <c r="F84" t="s">
        <v>206</v>
      </c>
    </row>
    <row r="85" spans="1:6" x14ac:dyDescent="0.25">
      <c r="A85" s="31">
        <v>46178.467581018522</v>
      </c>
      <c r="B85" t="s">
        <v>282</v>
      </c>
      <c r="C85" t="s">
        <v>338</v>
      </c>
      <c r="F85" t="s">
        <v>206</v>
      </c>
    </row>
    <row r="86" spans="1:6" x14ac:dyDescent="0.25">
      <c r="A86" s="31">
        <v>46178.467893518522</v>
      </c>
      <c r="B86" t="s">
        <v>282</v>
      </c>
      <c r="C86" t="s">
        <v>338</v>
      </c>
      <c r="D86">
        <v>-0.14605663942974229</v>
      </c>
      <c r="E86">
        <v>-0.14605663942974229</v>
      </c>
      <c r="F86" t="s">
        <v>206</v>
      </c>
    </row>
    <row r="87" spans="1:6" x14ac:dyDescent="0.25">
      <c r="A87" s="31">
        <v>46178.468159722222</v>
      </c>
      <c r="B87" t="s">
        <v>282</v>
      </c>
      <c r="C87" t="s">
        <v>339</v>
      </c>
      <c r="E87">
        <v>2717.1391479107065</v>
      </c>
      <c r="F87" t="s">
        <v>206</v>
      </c>
    </row>
    <row r="88" spans="1:6" x14ac:dyDescent="0.25">
      <c r="A88" s="31">
        <v>46178.468425925923</v>
      </c>
      <c r="B88" t="s">
        <v>282</v>
      </c>
      <c r="C88" t="s">
        <v>340</v>
      </c>
      <c r="E88">
        <v>0.11060260848475249</v>
      </c>
      <c r="F88" t="s">
        <v>206</v>
      </c>
    </row>
    <row r="89" spans="1:6" x14ac:dyDescent="0.25">
      <c r="A89" s="31">
        <v>46178.468726851854</v>
      </c>
      <c r="B89" t="s">
        <v>341</v>
      </c>
      <c r="C89" t="s">
        <v>342</v>
      </c>
      <c r="D89">
        <v>0.22029619673787892</v>
      </c>
      <c r="E89">
        <v>0.22029619673787892</v>
      </c>
      <c r="F89" t="s">
        <v>206</v>
      </c>
    </row>
    <row r="90" spans="1:6" x14ac:dyDescent="0.25">
      <c r="A90" s="31">
        <v>46178.470868055556</v>
      </c>
      <c r="B90" t="s">
        <v>341</v>
      </c>
      <c r="C90" t="s">
        <v>343</v>
      </c>
      <c r="D90" t="e">
        <v>#REF!</v>
      </c>
      <c r="E90" t="e">
        <v>#N/A</v>
      </c>
      <c r="F90" t="s">
        <v>206</v>
      </c>
    </row>
    <row r="91" spans="1:6" x14ac:dyDescent="0.25">
      <c r="A91" s="31">
        <v>46178.471006944441</v>
      </c>
      <c r="B91" t="s">
        <v>341</v>
      </c>
      <c r="C91" t="s">
        <v>343</v>
      </c>
      <c r="D91" t="e">
        <v>#N/A</v>
      </c>
      <c r="E91" t="e">
        <v>#N/A</v>
      </c>
      <c r="F91" t="s">
        <v>206</v>
      </c>
    </row>
    <row r="92" spans="1:6" x14ac:dyDescent="0.25">
      <c r="A92" s="31">
        <v>46178.472349537034</v>
      </c>
      <c r="B92" t="s">
        <v>341</v>
      </c>
      <c r="C92" t="s">
        <v>299</v>
      </c>
      <c r="D92" s="1">
        <v>42125</v>
      </c>
      <c r="E92" s="55">
        <v>29.594502314814815</v>
      </c>
      <c r="F92" t="s">
        <v>206</v>
      </c>
    </row>
    <row r="93" spans="1:6" x14ac:dyDescent="0.25">
      <c r="A93" s="31">
        <v>46178.478182870371</v>
      </c>
      <c r="B93" t="s">
        <v>341</v>
      </c>
      <c r="C93" t="s">
        <v>344</v>
      </c>
      <c r="D93" t="e">
        <v>#REF!</v>
      </c>
      <c r="F93" t="s">
        <v>206</v>
      </c>
    </row>
    <row r="94" spans="1:6" x14ac:dyDescent="0.25">
      <c r="A94" s="31">
        <v>46178.478391203702</v>
      </c>
      <c r="B94" t="s">
        <v>341</v>
      </c>
      <c r="C94" t="s">
        <v>345</v>
      </c>
      <c r="D94" t="e">
        <v>#REF!</v>
      </c>
      <c r="F94" t="s">
        <v>206</v>
      </c>
    </row>
    <row r="95" spans="1:6" x14ac:dyDescent="0.25">
      <c r="A95" s="31">
        <v>46178.478576388887</v>
      </c>
      <c r="B95" t="s">
        <v>341</v>
      </c>
      <c r="C95" t="s">
        <v>346</v>
      </c>
      <c r="D95" t="e">
        <v>#REF!</v>
      </c>
      <c r="F95" t="s">
        <v>206</v>
      </c>
    </row>
    <row r="96" spans="1:6" x14ac:dyDescent="0.25">
      <c r="A96" s="31">
        <v>46178.479131944441</v>
      </c>
      <c r="B96" t="s">
        <v>341</v>
      </c>
      <c r="C96" t="s">
        <v>267</v>
      </c>
      <c r="D96" t="e">
        <v>#REF!</v>
      </c>
      <c r="E96">
        <v>6.333265105284327</v>
      </c>
      <c r="F96" t="s">
        <v>206</v>
      </c>
    </row>
    <row r="97" spans="1:6" x14ac:dyDescent="0.25">
      <c r="A97" s="31">
        <v>46178.479456018518</v>
      </c>
      <c r="B97" t="s">
        <v>341</v>
      </c>
      <c r="C97" t="s">
        <v>271</v>
      </c>
      <c r="D97" t="e">
        <v>#REF!</v>
      </c>
      <c r="E97">
        <v>11.083805209513026</v>
      </c>
      <c r="F97" t="s">
        <v>206</v>
      </c>
    </row>
    <row r="98" spans="1:6" x14ac:dyDescent="0.25">
      <c r="A98" s="31">
        <v>46178.480694444443</v>
      </c>
      <c r="B98" t="s">
        <v>341</v>
      </c>
      <c r="C98" t="s">
        <v>343</v>
      </c>
      <c r="D98">
        <v>0.42184500067608693</v>
      </c>
      <c r="E98">
        <v>0.43950596564920824</v>
      </c>
      <c r="F98" t="s">
        <v>206</v>
      </c>
    </row>
    <row r="99" spans="1:6" x14ac:dyDescent="0.25">
      <c r="A99" s="31">
        <v>46178.481261574074</v>
      </c>
      <c r="B99" t="s">
        <v>341</v>
      </c>
      <c r="C99" t="s">
        <v>342</v>
      </c>
      <c r="D99">
        <v>0.22311895691523148</v>
      </c>
      <c r="E99">
        <v>0.22094304203767171</v>
      </c>
      <c r="F99" t="s">
        <v>206</v>
      </c>
    </row>
    <row r="100" spans="1:6" x14ac:dyDescent="0.25">
      <c r="A100" s="31">
        <v>46178.481400462966</v>
      </c>
      <c r="B100" t="s">
        <v>341</v>
      </c>
      <c r="C100" t="s">
        <v>347</v>
      </c>
      <c r="D100">
        <v>0.80748395886187729</v>
      </c>
      <c r="E100">
        <v>0.84062491620938884</v>
      </c>
      <c r="F100" t="s">
        <v>206</v>
      </c>
    </row>
    <row r="101" spans="1:6" x14ac:dyDescent="0.25">
      <c r="A101" s="31">
        <v>46178.481527777774</v>
      </c>
      <c r="B101" t="s">
        <v>341</v>
      </c>
      <c r="C101" t="s">
        <v>263</v>
      </c>
      <c r="D101">
        <v>1.8617330188963777E-2</v>
      </c>
      <c r="E101">
        <v>1.9227518849997103E-2</v>
      </c>
      <c r="F101" t="s">
        <v>206</v>
      </c>
    </row>
    <row r="102" spans="1:6" x14ac:dyDescent="0.25">
      <c r="A102" s="31">
        <v>46178.481620370374</v>
      </c>
      <c r="B102" t="s">
        <v>341</v>
      </c>
      <c r="C102" t="s">
        <v>267</v>
      </c>
      <c r="D102">
        <v>6.333265105284327</v>
      </c>
      <c r="E102">
        <v>8.0819473367573131</v>
      </c>
      <c r="F102" t="s">
        <v>206</v>
      </c>
    </row>
    <row r="103" spans="1:6" x14ac:dyDescent="0.25">
      <c r="A103" s="31">
        <v>46178.481747685182</v>
      </c>
      <c r="B103" t="s">
        <v>341</v>
      </c>
      <c r="C103" t="s">
        <v>348</v>
      </c>
      <c r="D103">
        <v>0.29399504124894815</v>
      </c>
      <c r="E103">
        <v>0.30273427355111021</v>
      </c>
      <c r="F103" t="s">
        <v>206</v>
      </c>
    </row>
    <row r="104" spans="1:6" x14ac:dyDescent="0.25">
      <c r="A104" s="31">
        <v>46178.48201388889</v>
      </c>
      <c r="B104" t="s">
        <v>341</v>
      </c>
      <c r="C104" t="s">
        <v>349</v>
      </c>
      <c r="D104">
        <v>0.96866328880155228</v>
      </c>
      <c r="E104">
        <v>0.97360337459080037</v>
      </c>
      <c r="F104" t="s">
        <v>206</v>
      </c>
    </row>
    <row r="105" spans="1:6" x14ac:dyDescent="0.25">
      <c r="A105" s="31">
        <v>46178.482141203705</v>
      </c>
      <c r="B105" t="s">
        <v>341</v>
      </c>
      <c r="C105" t="s">
        <v>350</v>
      </c>
      <c r="D105">
        <v>0.20930500982886971</v>
      </c>
      <c r="E105">
        <v>0.21315907933537137</v>
      </c>
      <c r="F105" t="s">
        <v>206</v>
      </c>
    </row>
    <row r="106" spans="1:6" x14ac:dyDescent="0.25">
      <c r="A106" s="31">
        <v>46178.482233796298</v>
      </c>
      <c r="B106" t="s">
        <v>341</v>
      </c>
      <c r="C106" t="s">
        <v>351</v>
      </c>
      <c r="D106">
        <v>1.0596920755502246</v>
      </c>
      <c r="E106">
        <v>0.8280605653672003</v>
      </c>
      <c r="F106" t="s">
        <v>206</v>
      </c>
    </row>
    <row r="107" spans="1:6" x14ac:dyDescent="0.25">
      <c r="A107" s="31">
        <v>46178.48232638889</v>
      </c>
      <c r="B107" t="s">
        <v>341</v>
      </c>
      <c r="C107" t="s">
        <v>264</v>
      </c>
      <c r="D107">
        <v>2.2573582266939556E-2</v>
      </c>
      <c r="E107">
        <v>1.845905231229996E-2</v>
      </c>
      <c r="F107" t="s">
        <v>206</v>
      </c>
    </row>
    <row r="108" spans="1:6" x14ac:dyDescent="0.25">
      <c r="A108" s="31">
        <v>46178.482418981483</v>
      </c>
      <c r="B108" t="s">
        <v>341</v>
      </c>
      <c r="C108" t="s">
        <v>271</v>
      </c>
      <c r="D108">
        <v>11.083805209513026</v>
      </c>
      <c r="E108">
        <v>7.3843714609286533</v>
      </c>
      <c r="F108" t="s">
        <v>206</v>
      </c>
    </row>
    <row r="109" spans="1:6" x14ac:dyDescent="0.25">
      <c r="A109" s="31">
        <v>46178.482557870368</v>
      </c>
      <c r="B109" t="s">
        <v>341</v>
      </c>
      <c r="C109" t="s">
        <v>352</v>
      </c>
      <c r="D109">
        <v>0.71964247232666578</v>
      </c>
      <c r="E109">
        <v>0.69511295284182206</v>
      </c>
      <c r="F109" t="s">
        <v>206</v>
      </c>
    </row>
    <row r="110" spans="1:6" x14ac:dyDescent="0.25">
      <c r="A110" s="31">
        <v>46178.48505787037</v>
      </c>
      <c r="B110" t="s">
        <v>282</v>
      </c>
      <c r="C110" t="s">
        <v>353</v>
      </c>
      <c r="E110">
        <v>0.43950596564920824</v>
      </c>
      <c r="F110" t="s">
        <v>206</v>
      </c>
    </row>
    <row r="111" spans="1:6" x14ac:dyDescent="0.25">
      <c r="A111" s="31">
        <v>46178.485196759262</v>
      </c>
      <c r="B111" t="s">
        <v>282</v>
      </c>
      <c r="C111" t="s">
        <v>354</v>
      </c>
      <c r="E111">
        <v>0.84062491620938884</v>
      </c>
      <c r="F111" t="s">
        <v>206</v>
      </c>
    </row>
    <row r="112" spans="1:6" x14ac:dyDescent="0.25">
      <c r="A112" s="31">
        <v>46178.485300925924</v>
      </c>
      <c r="B112" t="s">
        <v>282</v>
      </c>
      <c r="C112" t="s">
        <v>355</v>
      </c>
      <c r="E112">
        <v>0.22094304203767171</v>
      </c>
      <c r="F112" t="s">
        <v>206</v>
      </c>
    </row>
    <row r="113" spans="1:6" x14ac:dyDescent="0.25">
      <c r="A113" s="31">
        <v>46178.48542824074</v>
      </c>
      <c r="B113" t="s">
        <v>282</v>
      </c>
      <c r="C113" t="s">
        <v>356</v>
      </c>
      <c r="E113">
        <v>8.0819473367573131</v>
      </c>
      <c r="F113" t="s">
        <v>206</v>
      </c>
    </row>
    <row r="114" spans="1:6" x14ac:dyDescent="0.25">
      <c r="A114" s="31">
        <v>46178.491469907407</v>
      </c>
      <c r="B114" t="s">
        <v>282</v>
      </c>
      <c r="C114" t="s">
        <v>357</v>
      </c>
      <c r="D114" t="s">
        <v>358</v>
      </c>
      <c r="E114" t="s">
        <v>359</v>
      </c>
      <c r="F114" t="s">
        <v>206</v>
      </c>
    </row>
    <row r="115" spans="1:6" x14ac:dyDescent="0.25">
      <c r="A115" s="31">
        <v>46178.492210648146</v>
      </c>
      <c r="B115" t="s">
        <v>282</v>
      </c>
      <c r="C115" t="s">
        <v>357</v>
      </c>
      <c r="D115" t="s">
        <v>358</v>
      </c>
      <c r="E115" t="s">
        <v>360</v>
      </c>
      <c r="F115" t="s">
        <v>206</v>
      </c>
    </row>
    <row r="116" spans="1:6" x14ac:dyDescent="0.25">
      <c r="A116" s="31">
        <v>46178.492326388892</v>
      </c>
      <c r="B116" t="s">
        <v>282</v>
      </c>
      <c r="C116" t="s">
        <v>361</v>
      </c>
      <c r="D116" t="s">
        <v>358</v>
      </c>
      <c r="E116" t="s">
        <v>362</v>
      </c>
      <c r="F116" t="s">
        <v>206</v>
      </c>
    </row>
    <row r="117" spans="1:6" x14ac:dyDescent="0.25">
      <c r="A117" s="31">
        <v>46178.494351851848</v>
      </c>
      <c r="B117" t="s">
        <v>282</v>
      </c>
      <c r="C117" t="s">
        <v>357</v>
      </c>
      <c r="D117" t="s">
        <v>358</v>
      </c>
      <c r="E117" t="s">
        <v>363</v>
      </c>
      <c r="F117" t="s">
        <v>206</v>
      </c>
    </row>
    <row r="118" spans="1:6" x14ac:dyDescent="0.25">
      <c r="A118" s="31">
        <v>46178.501342592594</v>
      </c>
      <c r="B118" t="s">
        <v>282</v>
      </c>
      <c r="C118" t="s">
        <v>357</v>
      </c>
      <c r="D118" t="s">
        <v>358</v>
      </c>
      <c r="E118" t="s">
        <v>364</v>
      </c>
      <c r="F118" t="s">
        <v>206</v>
      </c>
    </row>
    <row r="119" spans="1:6" x14ac:dyDescent="0.25">
      <c r="A119" s="31">
        <v>46178.54614583333</v>
      </c>
      <c r="B119" t="s">
        <v>282</v>
      </c>
      <c r="C119" t="s">
        <v>357</v>
      </c>
      <c r="D119" t="s">
        <v>358</v>
      </c>
      <c r="E119" t="s">
        <v>365</v>
      </c>
      <c r="F119" t="s">
        <v>206</v>
      </c>
    </row>
    <row r="120" spans="1:6" x14ac:dyDescent="0.25">
      <c r="A120" s="31">
        <v>46178.546956018516</v>
      </c>
      <c r="B120" t="s">
        <v>282</v>
      </c>
      <c r="C120" t="s">
        <v>361</v>
      </c>
      <c r="D120" t="s">
        <v>358</v>
      </c>
      <c r="E120" t="s">
        <v>362</v>
      </c>
      <c r="F120" t="s">
        <v>206</v>
      </c>
    </row>
    <row r="121" spans="1:6" x14ac:dyDescent="0.25">
      <c r="A121" s="31">
        <v>46178.5471875</v>
      </c>
      <c r="B121" t="s">
        <v>282</v>
      </c>
      <c r="C121" t="s">
        <v>357</v>
      </c>
      <c r="D121" t="s">
        <v>358</v>
      </c>
      <c r="E121" t="s">
        <v>366</v>
      </c>
      <c r="F121" t="s">
        <v>206</v>
      </c>
    </row>
    <row r="122" spans="1:6" x14ac:dyDescent="0.25">
      <c r="A122" s="31">
        <v>46178.554085648146</v>
      </c>
      <c r="B122" t="s">
        <v>282</v>
      </c>
      <c r="C122" t="s">
        <v>357</v>
      </c>
      <c r="D122" t="s">
        <v>358</v>
      </c>
      <c r="E122" t="s">
        <v>367</v>
      </c>
      <c r="F122" t="s">
        <v>206</v>
      </c>
    </row>
    <row r="123" spans="1:6" x14ac:dyDescent="0.25">
      <c r="A123" s="31">
        <v>46178.862870370373</v>
      </c>
      <c r="B123" t="s">
        <v>282</v>
      </c>
      <c r="C123" t="s">
        <v>357</v>
      </c>
      <c r="D123" t="s">
        <v>358</v>
      </c>
      <c r="E123" t="s">
        <v>368</v>
      </c>
      <c r="F123" t="s">
        <v>206</v>
      </c>
    </row>
    <row r="124" spans="1:6" x14ac:dyDescent="0.25">
      <c r="A124" s="31">
        <v>46178.867881944447</v>
      </c>
      <c r="B124" t="s">
        <v>282</v>
      </c>
      <c r="C124" t="s">
        <v>357</v>
      </c>
      <c r="D124" t="s">
        <v>358</v>
      </c>
      <c r="E124" t="s">
        <v>369</v>
      </c>
      <c r="F124" t="s">
        <v>206</v>
      </c>
    </row>
    <row r="125" spans="1:6" x14ac:dyDescent="0.25">
      <c r="A125" s="31">
        <v>46178.887280092589</v>
      </c>
      <c r="B125" t="s">
        <v>204</v>
      </c>
      <c r="C125" t="s">
        <v>205</v>
      </c>
      <c r="E125" t="s">
        <v>203</v>
      </c>
      <c r="F125" t="s">
        <v>206</v>
      </c>
    </row>
    <row r="126" spans="1:6" x14ac:dyDescent="0.25">
      <c r="A126" s="31">
        <v>46178.889247685183</v>
      </c>
      <c r="B126" t="s">
        <v>370</v>
      </c>
      <c r="C126" t="s">
        <v>300</v>
      </c>
      <c r="F126" t="s">
        <v>206</v>
      </c>
    </row>
    <row r="127" spans="1:6" x14ac:dyDescent="0.25">
      <c r="A127" s="31">
        <v>46178.889988425923</v>
      </c>
      <c r="B127" t="s">
        <v>370</v>
      </c>
      <c r="C127" t="s">
        <v>300</v>
      </c>
      <c r="F127" t="s">
        <v>206</v>
      </c>
    </row>
    <row r="128" spans="1:6" x14ac:dyDescent="0.25">
      <c r="A128" s="31">
        <v>46178.891168981485</v>
      </c>
      <c r="B128" t="s">
        <v>370</v>
      </c>
      <c r="C128" t="s">
        <v>300</v>
      </c>
      <c r="F128" t="s">
        <v>206</v>
      </c>
    </row>
    <row r="129" spans="1:6" x14ac:dyDescent="0.25">
      <c r="A129" s="31">
        <v>46178.907395833332</v>
      </c>
      <c r="B129" t="s">
        <v>372</v>
      </c>
      <c r="C129" t="s">
        <v>373</v>
      </c>
      <c r="E129" t="s">
        <v>371</v>
      </c>
      <c r="F129" t="s">
        <v>206</v>
      </c>
    </row>
    <row r="130" spans="1:6" x14ac:dyDescent="0.25">
      <c r="A130" s="31">
        <v>46178.907488425924</v>
      </c>
      <c r="B130" t="s">
        <v>372</v>
      </c>
      <c r="C130" t="s">
        <v>374</v>
      </c>
      <c r="E130">
        <v>1.0642551178283273</v>
      </c>
      <c r="F130" t="s">
        <v>206</v>
      </c>
    </row>
    <row r="131" spans="1:6" x14ac:dyDescent="0.25">
      <c r="A131" s="31">
        <v>46178.907650462963</v>
      </c>
      <c r="B131" t="s">
        <v>372</v>
      </c>
      <c r="C131" t="s">
        <v>374</v>
      </c>
      <c r="D131">
        <v>1.0642551178283273</v>
      </c>
      <c r="E131">
        <v>1.0642551178283273</v>
      </c>
      <c r="F131" t="s">
        <v>206</v>
      </c>
    </row>
    <row r="132" spans="1:6" x14ac:dyDescent="0.25">
      <c r="A132" s="31">
        <v>46178.907997685186</v>
      </c>
      <c r="B132" t="s">
        <v>372</v>
      </c>
      <c r="C132" t="s">
        <v>374</v>
      </c>
      <c r="D132">
        <v>1.0642551178283273</v>
      </c>
      <c r="F132" t="s">
        <v>206</v>
      </c>
    </row>
    <row r="133" spans="1:6" x14ac:dyDescent="0.25">
      <c r="A133" s="31">
        <v>46178.908090277779</v>
      </c>
      <c r="B133" t="s">
        <v>372</v>
      </c>
      <c r="C133" t="s">
        <v>374</v>
      </c>
      <c r="E133">
        <v>0.93962432808456353</v>
      </c>
      <c r="F133" t="s">
        <v>206</v>
      </c>
    </row>
    <row r="134" spans="1:6" x14ac:dyDescent="0.25">
      <c r="A134" s="31">
        <v>46178.908541666664</v>
      </c>
      <c r="B134" t="s">
        <v>372</v>
      </c>
      <c r="C134" t="s">
        <v>374</v>
      </c>
      <c r="D134">
        <v>0.93962432808456353</v>
      </c>
      <c r="E134">
        <v>6.4255117828327324E-2</v>
      </c>
      <c r="F134" t="s">
        <v>206</v>
      </c>
    </row>
    <row r="135" spans="1:6" x14ac:dyDescent="0.25">
      <c r="A135" s="31">
        <v>46178.909236111111</v>
      </c>
      <c r="B135" t="s">
        <v>372</v>
      </c>
      <c r="C135" t="s">
        <v>375</v>
      </c>
      <c r="E135">
        <v>6.4255117828327324E-2</v>
      </c>
      <c r="F135" t="s">
        <v>206</v>
      </c>
    </row>
    <row r="136" spans="1:6" x14ac:dyDescent="0.25">
      <c r="A136" s="31">
        <v>46178.909467592595</v>
      </c>
      <c r="B136" t="s">
        <v>372</v>
      </c>
      <c r="C136" t="s">
        <v>375</v>
      </c>
      <c r="D136">
        <v>6.4255117828327324E-2</v>
      </c>
      <c r="E136">
        <v>0.19495177946573355</v>
      </c>
      <c r="F136" t="s">
        <v>206</v>
      </c>
    </row>
    <row r="137" spans="1:6" x14ac:dyDescent="0.25">
      <c r="A137" s="31">
        <v>46178.909988425927</v>
      </c>
      <c r="B137" t="s">
        <v>372</v>
      </c>
      <c r="C137" t="s">
        <v>376</v>
      </c>
      <c r="E137">
        <v>9.227347505215662E-2</v>
      </c>
      <c r="F137" t="s">
        <v>206</v>
      </c>
    </row>
    <row r="138" spans="1:6" x14ac:dyDescent="0.25">
      <c r="A138" s="31">
        <v>46178.910185185188</v>
      </c>
      <c r="B138" t="s">
        <v>372</v>
      </c>
      <c r="C138" t="s">
        <v>376</v>
      </c>
      <c r="D138">
        <v>9.227347505215662E-2</v>
      </c>
      <c r="E138">
        <v>0.1016533862524933</v>
      </c>
      <c r="F138" t="s">
        <v>206</v>
      </c>
    </row>
    <row r="139" spans="1:6" x14ac:dyDescent="0.25">
      <c r="A139" s="31">
        <v>46178.911782407406</v>
      </c>
      <c r="B139" t="s">
        <v>372</v>
      </c>
      <c r="C139" t="s">
        <v>377</v>
      </c>
      <c r="E139">
        <v>0.22585924713584285</v>
      </c>
      <c r="F139" t="s">
        <v>206</v>
      </c>
    </row>
    <row r="140" spans="1:6" x14ac:dyDescent="0.25">
      <c r="A140" s="31">
        <v>46178.91238425926</v>
      </c>
      <c r="B140" t="s">
        <v>372</v>
      </c>
      <c r="C140" t="s">
        <v>378</v>
      </c>
      <c r="E140">
        <v>6.9881429192651945E-3</v>
      </c>
      <c r="F140" t="s">
        <v>206</v>
      </c>
    </row>
    <row r="141" spans="1:6" x14ac:dyDescent="0.25">
      <c r="A141" s="31">
        <v>46178.912476851852</v>
      </c>
      <c r="B141" t="s">
        <v>372</v>
      </c>
      <c r="C141" t="s">
        <v>378</v>
      </c>
      <c r="D141">
        <v>6.9881429192651945E-3</v>
      </c>
      <c r="E141">
        <v>1.4898451060313844E-2</v>
      </c>
      <c r="F141" t="s">
        <v>206</v>
      </c>
    </row>
    <row r="142" spans="1:6" x14ac:dyDescent="0.25">
      <c r="A142" s="31">
        <v>46178.912662037037</v>
      </c>
      <c r="B142" t="s">
        <v>372</v>
      </c>
      <c r="C142" t="s">
        <v>378</v>
      </c>
      <c r="D142">
        <v>1.4898451060313844E-2</v>
      </c>
      <c r="E142">
        <v>1.5123771834842601E-2</v>
      </c>
      <c r="F142" t="s">
        <v>206</v>
      </c>
    </row>
    <row r="143" spans="1:6" x14ac:dyDescent="0.25">
      <c r="A143" s="31">
        <v>46178.913518518515</v>
      </c>
      <c r="B143" t="s">
        <v>372</v>
      </c>
      <c r="C143" t="s">
        <v>379</v>
      </c>
      <c r="D143">
        <v>0.19495177946573355</v>
      </c>
      <c r="E143">
        <v>0.12280576287394331</v>
      </c>
      <c r="F143" t="s">
        <v>206</v>
      </c>
    </row>
    <row r="144" spans="1:6" x14ac:dyDescent="0.25">
      <c r="A144" s="31">
        <v>46178.91542824074</v>
      </c>
      <c r="B144" t="s">
        <v>372</v>
      </c>
      <c r="C144" t="s">
        <v>378</v>
      </c>
      <c r="D144">
        <v>1.5123771834842601E-2</v>
      </c>
      <c r="E144">
        <v>6.9881429192651945E-3</v>
      </c>
      <c r="F144" t="s">
        <v>206</v>
      </c>
    </row>
    <row r="145" spans="1:6" x14ac:dyDescent="0.25">
      <c r="A145" s="31">
        <v>46178.915625000001</v>
      </c>
      <c r="B145" t="s">
        <v>372</v>
      </c>
      <c r="C145" t="s">
        <v>379</v>
      </c>
      <c r="D145">
        <v>0.12280576287394331</v>
      </c>
      <c r="E145">
        <v>2.9438083518743718E-2</v>
      </c>
      <c r="F145" t="s">
        <v>206</v>
      </c>
    </row>
    <row r="146" spans="1:6" x14ac:dyDescent="0.25">
      <c r="A146" s="31">
        <v>46178.928356481483</v>
      </c>
      <c r="B146" t="s">
        <v>370</v>
      </c>
      <c r="C146" t="s">
        <v>380</v>
      </c>
      <c r="F146" t="s">
        <v>206</v>
      </c>
    </row>
    <row r="147" spans="1:6" x14ac:dyDescent="0.25">
      <c r="A147" s="31">
        <v>46178.928379629629</v>
      </c>
      <c r="B147" t="s">
        <v>370</v>
      </c>
      <c r="C147" t="s">
        <v>381</v>
      </c>
      <c r="F147" t="s">
        <v>206</v>
      </c>
    </row>
    <row r="148" spans="1:6" x14ac:dyDescent="0.25">
      <c r="A148" s="31">
        <v>46178.931030092594</v>
      </c>
      <c r="B148" t="s">
        <v>372</v>
      </c>
      <c r="C148" t="s">
        <v>382</v>
      </c>
      <c r="E148">
        <v>28.037383177570092</v>
      </c>
      <c r="F148" t="s">
        <v>206</v>
      </c>
    </row>
    <row r="149" spans="1:6" x14ac:dyDescent="0.25">
      <c r="A149" s="31">
        <v>46178.931435185186</v>
      </c>
      <c r="B149" t="s">
        <v>372</v>
      </c>
      <c r="C149" t="s">
        <v>382</v>
      </c>
      <c r="D149">
        <v>28.037383177570092</v>
      </c>
      <c r="E149" t="s">
        <v>383</v>
      </c>
      <c r="F149" t="s">
        <v>206</v>
      </c>
    </row>
    <row r="150" spans="1:6" x14ac:dyDescent="0.25">
      <c r="A150" s="31">
        <v>46178.931701388887</v>
      </c>
      <c r="B150" t="s">
        <v>372</v>
      </c>
      <c r="C150" t="s">
        <v>384</v>
      </c>
      <c r="E150">
        <v>28.037383177570092</v>
      </c>
      <c r="F150" t="s">
        <v>206</v>
      </c>
    </row>
    <row r="151" spans="1:6" x14ac:dyDescent="0.25">
      <c r="A151" s="31">
        <v>46178.933217592596</v>
      </c>
      <c r="B151" t="s">
        <v>372</v>
      </c>
      <c r="C151" t="s">
        <v>382</v>
      </c>
      <c r="D151" t="s">
        <v>383</v>
      </c>
      <c r="E151" t="s">
        <v>383</v>
      </c>
      <c r="F151" t="s">
        <v>206</v>
      </c>
    </row>
    <row r="152" spans="1:6" x14ac:dyDescent="0.25">
      <c r="A152" s="31">
        <v>46178.938078703701</v>
      </c>
      <c r="B152" t="s">
        <v>372</v>
      </c>
      <c r="C152" t="s">
        <v>385</v>
      </c>
      <c r="E152">
        <v>8.3020753987038662E-2</v>
      </c>
      <c r="F152" t="s">
        <v>206</v>
      </c>
    </row>
    <row r="153" spans="1:6" x14ac:dyDescent="0.25">
      <c r="A153" s="31">
        <v>46178.938287037039</v>
      </c>
      <c r="B153" t="s">
        <v>372</v>
      </c>
      <c r="C153" t="s">
        <v>385</v>
      </c>
      <c r="D153">
        <v>8.3020753987038662E-2</v>
      </c>
      <c r="F153" t="s">
        <v>206</v>
      </c>
    </row>
    <row r="154" spans="1:6" x14ac:dyDescent="0.25">
      <c r="A154" s="31">
        <v>46178.938402777778</v>
      </c>
      <c r="B154" t="s">
        <v>372</v>
      </c>
      <c r="C154" t="s">
        <v>385</v>
      </c>
      <c r="E154">
        <v>12.045180897250363</v>
      </c>
      <c r="F154" t="s">
        <v>206</v>
      </c>
    </row>
    <row r="155" spans="1:6" x14ac:dyDescent="0.25">
      <c r="A155" s="31">
        <v>46178.939004629632</v>
      </c>
      <c r="B155" t="s">
        <v>372</v>
      </c>
      <c r="C155" t="s">
        <v>385</v>
      </c>
      <c r="D155">
        <v>12.045180897250363</v>
      </c>
      <c r="E155">
        <v>8.3020753987038662E-2</v>
      </c>
      <c r="F155" t="s">
        <v>206</v>
      </c>
    </row>
    <row r="156" spans="1:6" x14ac:dyDescent="0.25">
      <c r="A156" s="31">
        <v>46179.815659722219</v>
      </c>
      <c r="B156" t="s">
        <v>216</v>
      </c>
      <c r="C156" t="s">
        <v>386</v>
      </c>
      <c r="D156" t="s">
        <v>245</v>
      </c>
      <c r="E156" t="s">
        <v>245</v>
      </c>
      <c r="F156" t="s">
        <v>206</v>
      </c>
    </row>
    <row r="157" spans="1:6" x14ac:dyDescent="0.25">
      <c r="A157" s="31">
        <v>46179.816493055558</v>
      </c>
      <c r="B157" t="s">
        <v>282</v>
      </c>
      <c r="C157" t="s">
        <v>283</v>
      </c>
      <c r="D157" t="s">
        <v>281</v>
      </c>
      <c r="E157" t="s">
        <v>281</v>
      </c>
      <c r="F157" t="s">
        <v>206</v>
      </c>
    </row>
    <row r="158" spans="1:6" x14ac:dyDescent="0.25">
      <c r="A158" s="31">
        <v>46179.816516203704</v>
      </c>
      <c r="B158" t="s">
        <v>282</v>
      </c>
      <c r="C158" t="s">
        <v>285</v>
      </c>
      <c r="F158" t="s">
        <v>206</v>
      </c>
    </row>
    <row r="159" spans="1:6" x14ac:dyDescent="0.25">
      <c r="A159" s="31">
        <v>46179.816851851851</v>
      </c>
      <c r="B159" t="s">
        <v>282</v>
      </c>
      <c r="C159" t="s">
        <v>285</v>
      </c>
      <c r="F159" t="s">
        <v>206</v>
      </c>
    </row>
    <row r="160" spans="1:6" x14ac:dyDescent="0.25">
      <c r="A160" s="31">
        <v>46179.817152777781</v>
      </c>
      <c r="B160" t="s">
        <v>282</v>
      </c>
      <c r="C160" t="s">
        <v>285</v>
      </c>
      <c r="F160" t="s">
        <v>206</v>
      </c>
    </row>
    <row r="161" spans="1:6" x14ac:dyDescent="0.25">
      <c r="A161" s="31">
        <v>46179.817291666666</v>
      </c>
      <c r="B161" t="s">
        <v>282</v>
      </c>
      <c r="C161" t="s">
        <v>285</v>
      </c>
      <c r="F161" t="s">
        <v>206</v>
      </c>
    </row>
    <row r="162" spans="1:6" x14ac:dyDescent="0.25">
      <c r="A162" s="31">
        <v>46179.817337962966</v>
      </c>
      <c r="B162" t="s">
        <v>282</v>
      </c>
      <c r="C162" t="s">
        <v>285</v>
      </c>
      <c r="F162" t="s">
        <v>206</v>
      </c>
    </row>
    <row r="163" spans="1:6" x14ac:dyDescent="0.25">
      <c r="A163" s="31">
        <v>46179.819571759261</v>
      </c>
      <c r="B163" t="s">
        <v>282</v>
      </c>
      <c r="C163" t="s">
        <v>357</v>
      </c>
      <c r="D163" t="s">
        <v>358</v>
      </c>
      <c r="E163" t="s">
        <v>387</v>
      </c>
      <c r="F163" t="s">
        <v>206</v>
      </c>
    </row>
    <row r="164" spans="1:6" x14ac:dyDescent="0.25">
      <c r="A164" s="31"/>
    </row>
    <row r="165" spans="1:6" x14ac:dyDescent="0.25">
      <c r="A165" s="31"/>
    </row>
    <row r="166" spans="1:6" x14ac:dyDescent="0.25">
      <c r="A166" s="31"/>
    </row>
    <row r="167" spans="1:6" x14ac:dyDescent="0.25">
      <c r="A167" s="31"/>
    </row>
    <row r="168" spans="1:6" x14ac:dyDescent="0.25">
      <c r="A168" s="31"/>
    </row>
    <row r="169" spans="1:6" x14ac:dyDescent="0.25">
      <c r="A169" s="31"/>
    </row>
    <row r="170" spans="1:6" x14ac:dyDescent="0.25">
      <c r="A170" s="31"/>
    </row>
    <row r="171" spans="1:6" x14ac:dyDescent="0.25">
      <c r="A171" s="31"/>
    </row>
    <row r="172" spans="1:6" x14ac:dyDescent="0.25">
      <c r="A172" s="31"/>
    </row>
    <row r="173" spans="1:6" x14ac:dyDescent="0.25">
      <c r="A173" s="31"/>
    </row>
    <row r="174" spans="1:6" x14ac:dyDescent="0.25">
      <c r="A174" s="31"/>
    </row>
    <row r="175" spans="1:6" x14ac:dyDescent="0.25">
      <c r="A175" s="31"/>
    </row>
    <row r="176" spans="1:6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D3F52C-CC18-4759-BA41-161762DCD4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DASHBOARD</vt:lpstr>
      <vt:lpstr>CONTROL_PANEL</vt:lpstr>
      <vt:lpstr>DATA_ENGINE</vt:lpstr>
      <vt:lpstr>RAW_CF</vt:lpstr>
      <vt:lpstr>RAW_BS</vt:lpstr>
      <vt:lpstr>RAW_IS</vt:lpstr>
      <vt:lpstr>FINANCIAL_STATEMENTS</vt:lpstr>
      <vt:lpstr>VALUATION_ENGINE</vt:lpstr>
      <vt:lpstr>RAW_AAPL</vt:lpstr>
      <vt:lpstr>RAW_GSPC</vt:lpstr>
      <vt:lpstr>RAW_MSFT</vt:lpstr>
      <vt:lpstr>SCENARIO_LAB</vt:lpstr>
      <vt:lpstr>AUTOMATION_ENGINE</vt:lpstr>
      <vt:lpstr>PORTFOLIO_TRACKER</vt:lpstr>
      <vt:lpstr>GALAXY</vt:lpstr>
      <vt:lpstr>AUDIT_TRAIL</vt:lpstr>
      <vt:lpstr>ActiveScenario</vt:lpstr>
      <vt:lpstr>Beta</vt:lpstr>
      <vt:lpstr>CapExPct</vt:lpstr>
      <vt:lpstr>CompanyName</vt:lpstr>
      <vt:lpstr>CurrentStockPrice</vt:lpstr>
      <vt:lpstr>EquityRiskPremium</vt:lpstr>
      <vt:lpstr>GrossMargin</vt:lpstr>
      <vt:lpstr>Growth\WACC</vt:lpstr>
      <vt:lpstr>maxscale</vt:lpstr>
      <vt:lpstr>minscale</vt:lpstr>
      <vt:lpstr>DASHBOARD!Print_Area</vt:lpstr>
      <vt:lpstr>ProjectionYears</vt:lpstr>
      <vt:lpstr>RevenueGrowth</vt:lpstr>
      <vt:lpstr>RiskFreeRate</vt:lpstr>
      <vt:lpstr>ShareOutstanding</vt:lpstr>
      <vt:lpstr>TaxRate</vt:lpstr>
      <vt:lpstr>TerminalGrowthRate</vt:lpstr>
      <vt:lpstr>Ticker</vt:lpstr>
      <vt:lpstr>updown</vt:lpstr>
      <vt:lpstr>WACC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Mohibul hoque</dc:creator>
  <cp:lastModifiedBy>Mohibul  Hoque</cp:lastModifiedBy>
  <cp:lastPrinted>2026-06-06T11:40:10Z</cp:lastPrinted>
  <dcterms:created xsi:type="dcterms:W3CDTF">2026-05-29T06:10:39Z</dcterms:created>
  <dcterms:modified xsi:type="dcterms:W3CDTF">2026-06-06T11:46:25Z</dcterms:modified>
</cp:coreProperties>
</file>